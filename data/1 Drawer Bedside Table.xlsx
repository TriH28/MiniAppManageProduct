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.shortcut-targets-by-id\1v96svB9oW2pqqRH7VdWaejSOF-2MFB-R\PHÒNG KỸ THUẬT\4. KHÁCH HÀNG MFC\BÁO GIÁ\1. Báo giá 2026\ROWEN HOME\SOHO RANGE\"/>
    </mc:Choice>
  </mc:AlternateContent>
  <xr:revisionPtr revIDLastSave="0" documentId="13_ncr:1_{A913A4BE-BCB1-4E87-B39A-263D0198FD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EDSIDE 1D" sheetId="9" r:id="rId1"/>
  </sheets>
  <externalReferences>
    <externalReference r:id="rId2"/>
    <externalReference r:id="rId3"/>
    <externalReference r:id="rId4"/>
    <externalReference r:id="rId5"/>
  </externalReferences>
  <definedNames>
    <definedName name="a">[1]Fitting!$B$7:$B$10000</definedName>
    <definedName name="DULIEUVATTU">[2]Fitting!$B$7:$B$10000</definedName>
    <definedName name="MANGUYENLIEU">'[3]NL - MDF - Veneer'!$A$6:$A$32</definedName>
    <definedName name="_xlnm.Print_Area" localSheetId="0">'BEDSIDE 1D'!$A$3:$P$79</definedName>
    <definedName name="sp">#REF!</definedName>
    <definedName name="Tygia">[4]ChiPhiSX!$F$1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6" i="9" l="1"/>
  <c r="I36" i="9"/>
  <c r="H36" i="9"/>
  <c r="A36" i="9"/>
  <c r="N21" i="9"/>
  <c r="I21" i="9"/>
  <c r="H21" i="9"/>
  <c r="A21" i="9"/>
  <c r="N31" i="9"/>
  <c r="I31" i="9"/>
  <c r="H31" i="9"/>
  <c r="A31" i="9"/>
  <c r="I59" i="9"/>
  <c r="H59" i="9"/>
  <c r="I58" i="9"/>
  <c r="H58" i="9"/>
  <c r="I56" i="9"/>
  <c r="H56" i="9"/>
  <c r="I55" i="9"/>
  <c r="H55" i="9"/>
  <c r="I54" i="9"/>
  <c r="H54" i="9"/>
  <c r="I53" i="9"/>
  <c r="H53" i="9"/>
  <c r="I50" i="9"/>
  <c r="H50" i="9"/>
  <c r="I49" i="9"/>
  <c r="H49" i="9"/>
  <c r="I47" i="9"/>
  <c r="H47" i="9"/>
  <c r="N45" i="9"/>
  <c r="I45" i="9"/>
  <c r="H45" i="9"/>
  <c r="A45" i="9"/>
  <c r="N44" i="9"/>
  <c r="I44" i="9"/>
  <c r="H44" i="9"/>
  <c r="A44" i="9"/>
  <c r="N43" i="9"/>
  <c r="I43" i="9"/>
  <c r="H43" i="9"/>
  <c r="A43" i="9"/>
  <c r="N42" i="9"/>
  <c r="I42" i="9"/>
  <c r="H42" i="9"/>
  <c r="A42" i="9"/>
  <c r="N41" i="9"/>
  <c r="I41" i="9"/>
  <c r="I57" i="9"/>
  <c r="H41" i="9"/>
  <c r="H57" i="9"/>
  <c r="A41" i="9"/>
  <c r="N40" i="9"/>
  <c r="I40" i="9"/>
  <c r="H40" i="9"/>
  <c r="A40" i="9"/>
  <c r="N39" i="9"/>
  <c r="I39" i="9"/>
  <c r="H39" i="9"/>
  <c r="A39" i="9"/>
  <c r="N38" i="9"/>
  <c r="I38" i="9"/>
  <c r="H38" i="9"/>
  <c r="N37" i="9"/>
  <c r="I37" i="9"/>
  <c r="H37" i="9"/>
  <c r="A37" i="9"/>
  <c r="N35" i="9"/>
  <c r="I35" i="9"/>
  <c r="H35" i="9"/>
  <c r="A35" i="9"/>
  <c r="N34" i="9"/>
  <c r="I34" i="9"/>
  <c r="H34" i="9"/>
  <c r="A34" i="9"/>
  <c r="N33" i="9"/>
  <c r="I33" i="9"/>
  <c r="H33" i="9"/>
  <c r="A33" i="9"/>
  <c r="N30" i="9"/>
  <c r="I30" i="9"/>
  <c r="H30" i="9"/>
  <c r="A30" i="9"/>
  <c r="N29" i="9"/>
  <c r="I29" i="9"/>
  <c r="H29" i="9"/>
  <c r="A29" i="9"/>
  <c r="N28" i="9"/>
  <c r="I28" i="9"/>
  <c r="H28" i="9"/>
  <c r="A28" i="9"/>
  <c r="N26" i="9"/>
  <c r="I26" i="9"/>
  <c r="H26" i="9"/>
  <c r="A26" i="9"/>
  <c r="N25" i="9"/>
  <c r="I25" i="9"/>
  <c r="H25" i="9"/>
  <c r="A25" i="9"/>
  <c r="N24" i="9"/>
  <c r="I24" i="9"/>
  <c r="H24" i="9"/>
  <c r="A24" i="9"/>
  <c r="N23" i="9"/>
  <c r="I23" i="9"/>
  <c r="H23" i="9"/>
  <c r="A23" i="9"/>
  <c r="N22" i="9"/>
  <c r="I22" i="9"/>
  <c r="H22" i="9"/>
  <c r="A22" i="9"/>
  <c r="N20" i="9"/>
  <c r="I20" i="9"/>
  <c r="H20" i="9"/>
  <c r="A20" i="9"/>
  <c r="N19" i="9"/>
  <c r="I19" i="9"/>
  <c r="H19" i="9"/>
  <c r="A19" i="9"/>
  <c r="N18" i="9"/>
  <c r="I18" i="9"/>
  <c r="H18" i="9"/>
  <c r="A18" i="9"/>
  <c r="N16" i="9"/>
  <c r="I16" i="9"/>
  <c r="H16" i="9"/>
  <c r="A16" i="9"/>
  <c r="N15" i="9"/>
  <c r="I15" i="9"/>
  <c r="H15" i="9"/>
  <c r="H52" i="9"/>
  <c r="I52" i="9"/>
  <c r="I48" i="9"/>
  <c r="H51" i="9"/>
  <c r="I60" i="9"/>
  <c r="H48" i="9"/>
  <c r="I51" i="9"/>
  <c r="H60" i="9"/>
  <c r="J60" i="9"/>
</calcChain>
</file>

<file path=xl/sharedStrings.xml><?xml version="1.0" encoding="utf-8"?>
<sst xmlns="http://schemas.openxmlformats.org/spreadsheetml/2006/main" count="299" uniqueCount="181">
  <si>
    <t>BẢNG TÍNH CHI TIẾT SẢN PHẨM</t>
  </si>
  <si>
    <t>Lần ban hành: 01</t>
  </si>
  <si>
    <t>Tên sản phẩm:</t>
  </si>
  <si>
    <t>Mã số:</t>
  </si>
  <si>
    <t>Số phiếu:</t>
  </si>
  <si>
    <t>W</t>
  </si>
  <si>
    <t>D</t>
  </si>
  <si>
    <t>H</t>
  </si>
  <si>
    <t>Kích thước tổng thế:</t>
  </si>
  <si>
    <t>MM</t>
  </si>
  <si>
    <t>I. NGUYÊN LIỆU</t>
  </si>
  <si>
    <t>Stt</t>
  </si>
  <si>
    <t>Tên Chi Tiết</t>
  </si>
  <si>
    <t>Nguyên vật liệu</t>
  </si>
  <si>
    <t>Quy cách tinh(mm)</t>
  </si>
  <si>
    <t>SL</t>
  </si>
  <si>
    <t>Thể tích
(m3)</t>
  </si>
  <si>
    <t>Diện tích (m2)</t>
  </si>
  <si>
    <t>Quy cách thô(mm)</t>
  </si>
  <si>
    <t>Số 
lượng</t>
  </si>
  <si>
    <t>Thể tích
 (m3)</t>
  </si>
  <si>
    <t>CHẤT LƯỢNG</t>
  </si>
  <si>
    <t>Dày</t>
  </si>
  <si>
    <t>Rông</t>
  </si>
  <si>
    <t>Dài</t>
  </si>
  <si>
    <t>Cao su</t>
  </si>
  <si>
    <t>MDF</t>
  </si>
  <si>
    <t>Nguyên 
vật liệu</t>
  </si>
  <si>
    <t>TỔNG CỘNG</t>
  </si>
  <si>
    <t>ASH</t>
  </si>
  <si>
    <t>MDF 3mm</t>
  </si>
  <si>
    <t>MDF 5mm</t>
  </si>
  <si>
    <t>MDF 9mm</t>
  </si>
  <si>
    <t>MDF 15mm</t>
  </si>
  <si>
    <t>MDF 18mm</t>
  </si>
  <si>
    <t>MDF 21mm</t>
  </si>
  <si>
    <t>TỔNG KHỐI LƯỢNG</t>
  </si>
  <si>
    <t>II. VẬT TƯ LẮP RÁP</t>
  </si>
  <si>
    <t>Tên vật tư</t>
  </si>
  <si>
    <t>Mã số</t>
  </si>
  <si>
    <t>Quy cách</t>
  </si>
  <si>
    <t>Số lượng</t>
  </si>
  <si>
    <t>ĐVT</t>
  </si>
  <si>
    <t>Chất Lượng</t>
  </si>
  <si>
    <t>Ghi Chú</t>
  </si>
  <si>
    <t>Cứng</t>
  </si>
  <si>
    <t>Rời</t>
  </si>
  <si>
    <t>Con</t>
  </si>
  <si>
    <t>7 màu</t>
  </si>
  <si>
    <t>XÁC NHẬN CỦA XƯỞNG</t>
  </si>
  <si>
    <t xml:space="preserve">Thùng carton </t>
  </si>
  <si>
    <t>Plywood</t>
  </si>
  <si>
    <t>IV. MÀU SƠN - MÀU VẢI</t>
  </si>
  <si>
    <t>Tên màu</t>
  </si>
  <si>
    <t>NCC</t>
  </si>
  <si>
    <t>Màu vải</t>
  </si>
  <si>
    <t>Màu sơn Gỗ</t>
  </si>
  <si>
    <t xml:space="preserve">Ngày ban hành: </t>
  </si>
  <si>
    <t>mm</t>
  </si>
  <si>
    <t>V. VẬT TƯ ĐÓNG GÓI</t>
  </si>
  <si>
    <t>5 lớp dạng A1, 175 LBS</t>
  </si>
  <si>
    <t>Oak</t>
  </si>
  <si>
    <t>A</t>
  </si>
  <si>
    <t>Cụm nóc</t>
  </si>
  <si>
    <t>B</t>
  </si>
  <si>
    <t>E</t>
  </si>
  <si>
    <t>theo mẫu</t>
  </si>
  <si>
    <t>cái</t>
  </si>
  <si>
    <t>bộ</t>
  </si>
  <si>
    <t>Vít đầu côn răng dày</t>
  </si>
  <si>
    <t>Ø4x15</t>
  </si>
  <si>
    <t xml:space="preserve">Vít đầu dù </t>
  </si>
  <si>
    <t>Ø4x30</t>
  </si>
  <si>
    <t>Đinh chỉ 20</t>
  </si>
  <si>
    <t>Cây</t>
  </si>
  <si>
    <t>Đinh F10,F15,20,25,30</t>
  </si>
  <si>
    <t>Bộ chống lật</t>
  </si>
  <si>
    <t>mã số</t>
  </si>
  <si>
    <t>Chất lượng</t>
  </si>
  <si>
    <t>Ghi chú</t>
  </si>
  <si>
    <t>Phôi nguyên, ghép ngang, M40/2</t>
  </si>
  <si>
    <t>Phôi nguyên, ghép ngang</t>
  </si>
  <si>
    <t>Ván nóc</t>
  </si>
  <si>
    <t>Chỉ hông</t>
  </si>
  <si>
    <t xml:space="preserve">Phôi nguyên, ghép ngang </t>
  </si>
  <si>
    <t>Ke góc</t>
  </si>
  <si>
    <t>Gỗ Thông</t>
  </si>
  <si>
    <t>Cụm hông</t>
  </si>
  <si>
    <t>Đố hông trên</t>
  </si>
  <si>
    <t xml:space="preserve">Phôi nguyên, ghép ngang,
</t>
  </si>
  <si>
    <t>Đố hông dưới</t>
  </si>
  <si>
    <t>Phôi nguyên, ghép ngang dọc</t>
  </si>
  <si>
    <t>Ván hông</t>
  </si>
  <si>
    <t>Cụm trước</t>
  </si>
  <si>
    <t>Đố trước trên</t>
  </si>
  <si>
    <t>Đố trước dưới</t>
  </si>
  <si>
    <t>Cụm hậu</t>
  </si>
  <si>
    <t>Ván hậu</t>
  </si>
  <si>
    <t>Đố ngang trên</t>
  </si>
  <si>
    <t>F</t>
  </si>
  <si>
    <t>Cụm học kéo</t>
  </si>
  <si>
    <t>MDF  dán 1 mặt veneer oak 0,6
1 mặt thông 0,3</t>
  </si>
  <si>
    <t xml:space="preserve">Tay nắm  </t>
  </si>
  <si>
    <t>màu đen</t>
  </si>
  <si>
    <t>Bulon bắt tay nắm</t>
  </si>
  <si>
    <t>M4x25</t>
  </si>
  <si>
    <t>Màu trắng</t>
  </si>
  <si>
    <t>Vít đầu côn răng thưa</t>
  </si>
  <si>
    <t>Đinh U</t>
  </si>
  <si>
    <t>Chốt gỗ</t>
  </si>
  <si>
    <t>01pcs/ thùng</t>
  </si>
  <si>
    <t>Carton góc giấy</t>
  </si>
  <si>
    <t>5x100/100x100</t>
  </si>
  <si>
    <t>20x100/100x100</t>
  </si>
  <si>
    <t>HDLR</t>
  </si>
  <si>
    <t>tờ</t>
  </si>
  <si>
    <t>Tem QC</t>
  </si>
  <si>
    <t>Tem màu dán ngoài bao bì</t>
  </si>
  <si>
    <t>GHI CHÚ</t>
  </si>
  <si>
    <t>MDF Dán 1 mặt veneer oak 0,6mm
1 mặt thông 0,3 mm</t>
  </si>
  <si>
    <t xml:space="preserve">Chân </t>
  </si>
  <si>
    <t>Phôi nguyên, ghép chồng</t>
  </si>
  <si>
    <t>Phôi nguyên, ghép chồng, M40/2</t>
  </si>
  <si>
    <t xml:space="preserve">Phôi nguyên, ghép ngang,M40/2
</t>
  </si>
  <si>
    <t>Đố ngang dưới</t>
  </si>
  <si>
    <t>Cạnh giấy</t>
  </si>
  <si>
    <t xml:space="preserve">5 lớp </t>
  </si>
  <si>
    <t>5x100/100x250</t>
  </si>
  <si>
    <t xml:space="preserve">Xốp góc </t>
  </si>
  <si>
    <t>16kg</t>
  </si>
  <si>
    <t>Cạnh L xốp</t>
  </si>
  <si>
    <t>20x 100/100 x 250</t>
  </si>
  <si>
    <t>10kg</t>
  </si>
  <si>
    <t xml:space="preserve">Băng keo </t>
  </si>
  <si>
    <t>Bịch vật tư  180x250</t>
  </si>
  <si>
    <t>Bịch vật tư nhỏ</t>
  </si>
  <si>
    <t>Pallet plywood</t>
  </si>
  <si>
    <t>15x70x410</t>
  </si>
  <si>
    <t>Tờ A3</t>
  </si>
  <si>
    <t>Ráp chết vào tủ</t>
  </si>
  <si>
    <t>màu vàng</t>
  </si>
  <si>
    <t>Xi ken</t>
  </si>
  <si>
    <t>Băng</t>
  </si>
  <si>
    <t>Ø10x30</t>
  </si>
  <si>
    <t>Ø4x35</t>
  </si>
  <si>
    <t>Bạ bắt ray</t>
  </si>
  <si>
    <t>MDF  dán 1 mặt veneer thông 0,3
1 mặt tạp 0,3</t>
  </si>
  <si>
    <t>Chỉ mặt hộc kéo</t>
  </si>
  <si>
    <t>Mặt Hộc kéo</t>
  </si>
  <si>
    <t>Thành hộc kéo</t>
  </si>
  <si>
    <t>Hậu hộc kéo</t>
  </si>
  <si>
    <t>Đáy hộc kéo</t>
  </si>
  <si>
    <t>Ke góc đáy</t>
  </si>
  <si>
    <t>Ray trượt đóng chậm hafele</t>
  </si>
  <si>
    <t>Ø3,5x12</t>
  </si>
  <si>
    <t>5x100/100x700</t>
  </si>
  <si>
    <t xml:space="preserve">Xốp tấm </t>
  </si>
  <si>
    <t>20x200x700</t>
  </si>
  <si>
    <t>Đế chân</t>
  </si>
  <si>
    <t>1005x505x995</t>
  </si>
  <si>
    <t>15x70x1000</t>
  </si>
  <si>
    <t>5x100/100x750</t>
  </si>
  <si>
    <t>20x 100/100 x 750</t>
  </si>
  <si>
    <t>20x 100/100 x 700</t>
  </si>
  <si>
    <t>20x250x750</t>
  </si>
  <si>
    <t>20x600x700</t>
  </si>
  <si>
    <t>L250</t>
  </si>
  <si>
    <t>Ván tầng</t>
  </si>
  <si>
    <t xml:space="preserve">Tên khách hàng: </t>
  </si>
  <si>
    <t>MFC</t>
  </si>
  <si>
    <t>X. SX:</t>
  </si>
  <si>
    <t xml:space="preserve">Ngày nhận thông tin: </t>
  </si>
  <si>
    <t>GĐ. SX:</t>
  </si>
  <si>
    <t>P. KT -CL</t>
  </si>
  <si>
    <t>Ngày thay đổi: 08/01/2026</t>
  </si>
  <si>
    <t>Tài liệu dùng để lập bảng: Bản vẽ</t>
  </si>
  <si>
    <t>Ngày…../ Tháng ….. /Năm</t>
  </si>
  <si>
    <t>Loại sản phẩm: SOHO</t>
  </si>
  <si>
    <t>Mét</t>
  </si>
  <si>
    <t>Màng Foam 1mm</t>
  </si>
  <si>
    <t xml:space="preserve"> 1 Drawer Bedside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</si>
</sst>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.00000_);_(* \(#,##0.00000\);_(* &quot;-&quot;??_);_(@_)"/>
    <numFmt numFmtId="166" formatCode="_(* #,##0.0000_);_(* \(#,##0.0000\);_(* &quot;-&quot;??_);_(@_)"/>
    <numFmt numFmtId="167" formatCode="0.000"/>
    <numFmt numFmtId="168" formatCode="0.0000"/>
    <numFmt numFmtId="169" formatCode="_-* #,##0.0000\ _₫_-;\-* #,##0.0000\ _₫_-;_-* &quot;-&quot;????\ _₫_-;_-@_-"/>
  </numFmts>
  <fonts count="23" x14ac:knownFonts="1">
    <font>
      <sz val="10"/>
      <name val="Arial"/>
      <family val="2"/>
      <charset val="163"/>
    </font>
    <font>
      <sz val="11"/>
      <color theme="1"/>
      <name val="Arial"/>
      <family val="2"/>
      <charset val="163"/>
      <scheme val="minor"/>
    </font>
    <font>
      <sz val="10"/>
      <name val="Arial"/>
      <family val="2"/>
      <charset val="163"/>
    </font>
    <font>
      <sz val="8"/>
      <name val="Calibri"/>
      <family val="2"/>
      <charset val="163"/>
    </font>
    <font>
      <sz val="10"/>
      <name val="Calibri"/>
      <family val="2"/>
      <charset val="163"/>
    </font>
    <font>
      <b/>
      <sz val="10"/>
      <name val="Calibri"/>
      <family val="2"/>
    </font>
    <font>
      <b/>
      <sz val="10"/>
      <name val="Calibri"/>
      <family val="2"/>
      <charset val="163"/>
    </font>
    <font>
      <b/>
      <sz val="9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  <charset val="163"/>
    </font>
    <font>
      <b/>
      <sz val="10"/>
      <color theme="1"/>
      <name val="Calibri"/>
      <family val="2"/>
      <charset val="163"/>
    </font>
    <font>
      <sz val="10"/>
      <color indexed="63"/>
      <name val="Calibri"/>
      <family val="2"/>
    </font>
    <font>
      <sz val="11"/>
      <color indexed="8"/>
      <name val="Calibri"/>
      <family val="2"/>
    </font>
    <font>
      <sz val="10"/>
      <name val="Calibri"/>
      <family val="2"/>
    </font>
    <font>
      <sz val="12"/>
      <name val="Times New Roman"/>
      <family val="1"/>
    </font>
    <font>
      <sz val="11"/>
      <color indexed="8"/>
      <name val="Calibri"/>
      <family val="2"/>
      <charset val="163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sz val="10"/>
      <name val="SYMBOLS"/>
    </font>
    <font>
      <sz val="10"/>
      <name val="Symbol"/>
      <family val="1"/>
      <charset val="2"/>
    </font>
    <font>
      <sz val="10"/>
      <name val="Times New Roman"/>
      <family val="1"/>
      <scheme val="major"/>
    </font>
    <font>
      <sz val="12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5">
    <xf numFmtId="0" fontId="0" fillId="0" borderId="0"/>
    <xf numFmtId="164" fontId="2" fillId="0" borderId="0" applyFont="0" applyFill="0" applyBorder="0" applyAlignment="0" applyProtection="0"/>
    <xf numFmtId="0" fontId="12" fillId="0" borderId="0"/>
    <xf numFmtId="0" fontId="1" fillId="0" borderId="0"/>
    <xf numFmtId="0" fontId="14" fillId="0" borderId="0"/>
    <xf numFmtId="0" fontId="15" fillId="0" borderId="0"/>
    <xf numFmtId="0" fontId="1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12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2" fillId="0" borderId="0"/>
    <xf numFmtId="0" fontId="22" fillId="0" borderId="0"/>
  </cellStyleXfs>
  <cellXfs count="199">
    <xf numFmtId="0" fontId="0" fillId="0" borderId="0" xfId="0"/>
    <xf numFmtId="0" fontId="8" fillId="2" borderId="1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left"/>
    </xf>
    <xf numFmtId="165" fontId="4" fillId="2" borderId="0" xfId="0" applyNumberFormat="1" applyFont="1" applyFill="1" applyAlignment="1">
      <alignment horizontal="center"/>
    </xf>
    <xf numFmtId="14" fontId="4" fillId="2" borderId="0" xfId="0" applyNumberFormat="1" applyFont="1" applyFill="1"/>
    <xf numFmtId="14" fontId="6" fillId="2" borderId="11" xfId="0" applyNumberFormat="1" applyFont="1" applyFill="1" applyBorder="1"/>
    <xf numFmtId="14" fontId="6" fillId="2" borderId="11" xfId="0" applyNumberFormat="1" applyFont="1" applyFill="1" applyBorder="1" applyAlignment="1">
      <alignment horizontal="right"/>
    </xf>
    <xf numFmtId="14" fontId="6" fillId="2" borderId="0" xfId="0" applyNumberFormat="1" applyFont="1" applyFill="1" applyAlignment="1">
      <alignment horizontal="right"/>
    </xf>
    <xf numFmtId="14" fontId="6" fillId="2" borderId="0" xfId="0" applyNumberFormat="1" applyFont="1" applyFill="1" applyAlignment="1">
      <alignment horizontal="center"/>
    </xf>
    <xf numFmtId="14" fontId="4" fillId="2" borderId="0" xfId="0" applyNumberFormat="1" applyFont="1" applyFill="1" applyAlignment="1">
      <alignment horizontal="center"/>
    </xf>
    <xf numFmtId="0" fontId="6" fillId="2" borderId="11" xfId="0" applyFont="1" applyFill="1" applyBorder="1"/>
    <xf numFmtId="0" fontId="6" fillId="2" borderId="0" xfId="0" applyFont="1" applyFill="1"/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5" fillId="2" borderId="1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12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center" vertical="center"/>
    </xf>
    <xf numFmtId="166" fontId="4" fillId="2" borderId="12" xfId="1" applyNumberFormat="1" applyFont="1" applyFill="1" applyBorder="1" applyAlignment="1">
      <alignment horizontal="right" vertical="center"/>
    </xf>
    <xf numFmtId="166" fontId="4" fillId="2" borderId="12" xfId="1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vertical="center"/>
    </xf>
    <xf numFmtId="0" fontId="9" fillId="2" borderId="12" xfId="0" applyFont="1" applyFill="1" applyBorder="1" applyAlignment="1">
      <alignment vertical="center"/>
    </xf>
    <xf numFmtId="166" fontId="4" fillId="2" borderId="12" xfId="1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/>
    </xf>
    <xf numFmtId="166" fontId="6" fillId="2" borderId="12" xfId="1" applyNumberFormat="1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/>
    </xf>
    <xf numFmtId="165" fontId="6" fillId="2" borderId="12" xfId="1" applyNumberFormat="1" applyFont="1" applyFill="1" applyBorder="1" applyAlignment="1">
      <alignment horizontal="center" vertical="center" wrapText="1"/>
    </xf>
    <xf numFmtId="165" fontId="6" fillId="2" borderId="6" xfId="1" applyNumberFormat="1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166" fontId="6" fillId="2" borderId="12" xfId="1" applyNumberFormat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166" fontId="4" fillId="2" borderId="16" xfId="0" applyNumberFormat="1" applyFont="1" applyFill="1" applyBorder="1" applyAlignment="1">
      <alignment horizontal="center"/>
    </xf>
    <xf numFmtId="166" fontId="4" fillId="2" borderId="17" xfId="0" applyNumberFormat="1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166" fontId="6" fillId="2" borderId="13" xfId="1" applyNumberFormat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left" vertical="center"/>
    </xf>
    <xf numFmtId="167" fontId="4" fillId="2" borderId="0" xfId="0" applyNumberFormat="1" applyFont="1" applyFill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166" fontId="4" fillId="2" borderId="19" xfId="0" applyNumberFormat="1" applyFont="1" applyFill="1" applyBorder="1" applyAlignment="1">
      <alignment horizontal="center"/>
    </xf>
    <xf numFmtId="0" fontId="6" fillId="2" borderId="12" xfId="0" applyFont="1" applyFill="1" applyBorder="1"/>
    <xf numFmtId="166" fontId="6" fillId="2" borderId="12" xfId="0" applyNumberFormat="1" applyFont="1" applyFill="1" applyBorder="1" applyAlignment="1">
      <alignment horizontal="center"/>
    </xf>
    <xf numFmtId="169" fontId="6" fillId="2" borderId="12" xfId="0" applyNumberFormat="1" applyFont="1" applyFill="1" applyBorder="1"/>
    <xf numFmtId="168" fontId="4" fillId="2" borderId="0" xfId="0" applyNumberFormat="1" applyFont="1" applyFill="1" applyAlignment="1">
      <alignment horizontal="center"/>
    </xf>
    <xf numFmtId="0" fontId="16" fillId="2" borderId="0" xfId="5" applyFont="1" applyFill="1"/>
    <xf numFmtId="0" fontId="17" fillId="2" borderId="0" xfId="5" applyFont="1" applyFill="1"/>
    <xf numFmtId="2" fontId="17" fillId="2" borderId="0" xfId="5" applyNumberFormat="1" applyFont="1" applyFill="1"/>
    <xf numFmtId="0" fontId="16" fillId="2" borderId="12" xfId="5" applyFont="1" applyFill="1" applyBorder="1" applyAlignment="1">
      <alignment horizontal="center" vertical="center" wrapText="1"/>
    </xf>
    <xf numFmtId="0" fontId="17" fillId="2" borderId="12" xfId="5" applyFont="1" applyFill="1" applyBorder="1" applyAlignment="1">
      <alignment horizontal="center"/>
    </xf>
    <xf numFmtId="0" fontId="17" fillId="2" borderId="12" xfId="5" applyFont="1" applyFill="1" applyBorder="1"/>
    <xf numFmtId="0" fontId="18" fillId="2" borderId="12" xfId="0" applyFont="1" applyFill="1" applyBorder="1" applyAlignment="1">
      <alignment horizontal="center"/>
    </xf>
    <xf numFmtId="0" fontId="19" fillId="2" borderId="0" xfId="5" applyFont="1" applyFill="1"/>
    <xf numFmtId="0" fontId="17" fillId="2" borderId="6" xfId="5" applyFont="1" applyFill="1" applyBorder="1" applyAlignment="1">
      <alignment horizontal="center"/>
    </xf>
    <xf numFmtId="0" fontId="17" fillId="2" borderId="6" xfId="5" applyFont="1" applyFill="1" applyBorder="1"/>
    <xf numFmtId="0" fontId="17" fillId="2" borderId="10" xfId="5" applyFont="1" applyFill="1" applyBorder="1" applyAlignment="1">
      <alignment horizontal="center"/>
    </xf>
    <xf numFmtId="0" fontId="17" fillId="2" borderId="10" xfId="5" applyFont="1" applyFill="1" applyBorder="1"/>
    <xf numFmtId="0" fontId="17" fillId="2" borderId="12" xfId="5" applyFont="1" applyFill="1" applyBorder="1" applyAlignment="1">
      <alignment horizontal="left"/>
    </xf>
    <xf numFmtId="0" fontId="11" fillId="2" borderId="12" xfId="0" applyFont="1" applyFill="1" applyBorder="1" applyAlignment="1">
      <alignment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13" fillId="2" borderId="12" xfId="4" applyFont="1" applyFill="1" applyBorder="1" applyAlignment="1">
      <alignment horizontal="center" vertical="center"/>
    </xf>
    <xf numFmtId="0" fontId="13" fillId="2" borderId="12" xfId="5" applyFont="1" applyFill="1" applyBorder="1" applyAlignment="1">
      <alignment horizontal="center" vertical="center"/>
    </xf>
    <xf numFmtId="0" fontId="13" fillId="2" borderId="12" xfId="5" applyFont="1" applyFill="1" applyBorder="1" applyAlignment="1">
      <alignment horizontal="left" vertical="center"/>
    </xf>
    <xf numFmtId="0" fontId="13" fillId="2" borderId="5" xfId="4" applyFont="1" applyFill="1" applyBorder="1" applyAlignment="1">
      <alignment horizontal="left" vertical="center"/>
    </xf>
    <xf numFmtId="0" fontId="13" fillId="2" borderId="15" xfId="4" applyFont="1" applyFill="1" applyBorder="1" applyAlignment="1">
      <alignment horizontal="left" vertical="center"/>
    </xf>
    <xf numFmtId="0" fontId="13" fillId="2" borderId="6" xfId="4" applyFont="1" applyFill="1" applyBorder="1" applyAlignment="1">
      <alignment horizontal="left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vertical="center" wrapText="1"/>
    </xf>
    <xf numFmtId="14" fontId="16" fillId="2" borderId="22" xfId="7" applyNumberFormat="1" applyFont="1" applyFill="1" applyBorder="1"/>
    <xf numFmtId="0" fontId="17" fillId="2" borderId="0" xfId="8" applyFont="1" applyFill="1"/>
    <xf numFmtId="14" fontId="16" fillId="2" borderId="22" xfId="8" applyNumberFormat="1" applyFont="1" applyFill="1" applyBorder="1"/>
    <xf numFmtId="14" fontId="16" fillId="2" borderId="0" xfId="8" applyNumberFormat="1" applyFont="1" applyFill="1"/>
    <xf numFmtId="14" fontId="17" fillId="2" borderId="11" xfId="7" applyNumberFormat="1" applyFont="1" applyFill="1" applyBorder="1"/>
    <xf numFmtId="0" fontId="17" fillId="2" borderId="0" xfId="8" applyFont="1" applyFill="1" applyAlignment="1">
      <alignment horizontal="left"/>
    </xf>
    <xf numFmtId="14" fontId="16" fillId="2" borderId="11" xfId="8" applyNumberFormat="1" applyFont="1" applyFill="1" applyBorder="1"/>
    <xf numFmtId="0" fontId="17" fillId="2" borderId="0" xfId="9" applyFont="1" applyFill="1" applyAlignment="1">
      <alignment vertical="center"/>
    </xf>
    <xf numFmtId="14" fontId="16" fillId="2" borderId="11" xfId="7" applyNumberFormat="1" applyFont="1" applyFill="1" applyBorder="1"/>
    <xf numFmtId="14" fontId="17" fillId="2" borderId="22" xfId="7" applyNumberFormat="1" applyFont="1" applyFill="1" applyBorder="1"/>
    <xf numFmtId="0" fontId="17" fillId="0" borderId="12" xfId="7" applyFont="1" applyBorder="1" applyAlignment="1">
      <alignment horizontal="left"/>
    </xf>
    <xf numFmtId="0" fontId="8" fillId="3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vertical="center"/>
    </xf>
    <xf numFmtId="0" fontId="4" fillId="2" borderId="5" xfId="0" quotePrefix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3" fillId="2" borderId="5" xfId="4" applyFont="1" applyFill="1" applyBorder="1" applyAlignment="1">
      <alignment horizontal="left" vertical="center"/>
    </xf>
    <xf numFmtId="0" fontId="13" fillId="2" borderId="15" xfId="4" applyFont="1" applyFill="1" applyBorder="1" applyAlignment="1">
      <alignment horizontal="left" vertical="center"/>
    </xf>
    <xf numFmtId="0" fontId="13" fillId="2" borderId="6" xfId="4" applyFont="1" applyFill="1" applyBorder="1" applyAlignment="1">
      <alignment horizontal="left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5" xfId="4" applyFont="1" applyFill="1" applyBorder="1" applyAlignment="1">
      <alignment horizontal="center" vertical="center"/>
    </xf>
    <xf numFmtId="0" fontId="13" fillId="2" borderId="15" xfId="4" applyFont="1" applyFill="1" applyBorder="1" applyAlignment="1">
      <alignment horizontal="center" vertical="center"/>
    </xf>
    <xf numFmtId="0" fontId="13" fillId="2" borderId="6" xfId="4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left" vertical="center"/>
    </xf>
    <xf numFmtId="0" fontId="8" fillId="2" borderId="15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17" fillId="2" borderId="12" xfId="5" applyFont="1" applyFill="1" applyBorder="1"/>
    <xf numFmtId="0" fontId="17" fillId="2" borderId="12" xfId="5" applyFont="1" applyFill="1" applyBorder="1" applyAlignment="1">
      <alignment horizontal="center"/>
    </xf>
    <xf numFmtId="0" fontId="21" fillId="2" borderId="12" xfId="5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20" fillId="2" borderId="12" xfId="5" applyFont="1" applyFill="1" applyBorder="1" applyAlignment="1">
      <alignment horizontal="center"/>
    </xf>
    <xf numFmtId="0" fontId="17" fillId="2" borderId="5" xfId="5" applyFont="1" applyFill="1" applyBorder="1"/>
    <xf numFmtId="0" fontId="17" fillId="2" borderId="6" xfId="5" applyFont="1" applyFill="1" applyBorder="1"/>
    <xf numFmtId="0" fontId="17" fillId="2" borderId="5" xfId="5" applyFont="1" applyFill="1" applyBorder="1" applyAlignment="1">
      <alignment horizontal="center"/>
    </xf>
    <xf numFmtId="0" fontId="17" fillId="2" borderId="6" xfId="5" applyFont="1" applyFill="1" applyBorder="1" applyAlignment="1">
      <alignment horizontal="center"/>
    </xf>
    <xf numFmtId="0" fontId="20" fillId="2" borderId="15" xfId="5" applyFont="1" applyFill="1" applyBorder="1" applyAlignment="1">
      <alignment horizontal="center"/>
    </xf>
    <xf numFmtId="0" fontId="20" fillId="2" borderId="21" xfId="5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16" fillId="2" borderId="12" xfId="5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169" fontId="4" fillId="2" borderId="3" xfId="0" applyNumberFormat="1" applyFont="1" applyFill="1" applyBorder="1" applyAlignment="1">
      <alignment horizontal="center"/>
    </xf>
    <xf numFmtId="167" fontId="4" fillId="2" borderId="13" xfId="0" applyNumberFormat="1" applyFont="1" applyFill="1" applyBorder="1" applyAlignment="1">
      <alignment horizontal="center"/>
    </xf>
    <xf numFmtId="167" fontId="4" fillId="2" borderId="18" xfId="0" applyNumberFormat="1" applyFont="1" applyFill="1" applyBorder="1" applyAlignment="1">
      <alignment horizontal="center"/>
    </xf>
    <xf numFmtId="167" fontId="4" fillId="2" borderId="14" xfId="0" applyNumberFormat="1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169" fontId="6" fillId="2" borderId="5" xfId="0" applyNumberFormat="1" applyFont="1" applyFill="1" applyBorder="1" applyAlignment="1">
      <alignment horizontal="center"/>
    </xf>
    <xf numFmtId="169" fontId="6" fillId="2" borderId="6" xfId="0" applyNumberFormat="1" applyFont="1" applyFill="1" applyBorder="1" applyAlignment="1">
      <alignment horizontal="center"/>
    </xf>
    <xf numFmtId="0" fontId="16" fillId="2" borderId="13" xfId="5" applyFont="1" applyFill="1" applyBorder="1" applyAlignment="1">
      <alignment horizontal="center" vertical="center" wrapText="1"/>
    </xf>
    <xf numFmtId="0" fontId="16" fillId="2" borderId="14" xfId="5" applyFont="1" applyFill="1" applyBorder="1" applyAlignment="1">
      <alignment horizontal="center" vertical="center" wrapText="1"/>
    </xf>
    <xf numFmtId="0" fontId="16" fillId="2" borderId="2" xfId="5" applyFont="1" applyFill="1" applyBorder="1" applyAlignment="1">
      <alignment horizontal="center" vertical="center" wrapText="1"/>
    </xf>
    <xf numFmtId="0" fontId="16" fillId="2" borderId="4" xfId="5" applyFont="1" applyFill="1" applyBorder="1" applyAlignment="1">
      <alignment horizontal="center" vertical="center" wrapText="1"/>
    </xf>
    <xf numFmtId="0" fontId="16" fillId="2" borderId="9" xfId="5" applyFont="1" applyFill="1" applyBorder="1" applyAlignment="1">
      <alignment horizontal="center" vertical="center" wrapText="1"/>
    </xf>
    <xf numFmtId="0" fontId="16" fillId="2" borderId="10" xfId="5" applyFont="1" applyFill="1" applyBorder="1" applyAlignment="1">
      <alignment horizontal="center" vertical="center" wrapText="1"/>
    </xf>
    <xf numFmtId="2" fontId="16" fillId="2" borderId="12" xfId="5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/>
    </xf>
    <xf numFmtId="0" fontId="4" fillId="2" borderId="15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165" fontId="7" fillId="2" borderId="13" xfId="0" applyNumberFormat="1" applyFont="1" applyFill="1" applyBorder="1" applyAlignment="1">
      <alignment horizontal="center" vertical="center" wrapText="1"/>
    </xf>
    <xf numFmtId="165" fontId="7" fillId="2" borderId="14" xfId="0" applyNumberFormat="1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165" fontId="5" fillId="2" borderId="12" xfId="0" applyNumberFormat="1" applyFont="1" applyFill="1" applyBorder="1" applyAlignment="1">
      <alignment horizontal="center" vertical="center" wrapText="1"/>
    </xf>
    <xf numFmtId="165" fontId="5" fillId="2" borderId="12" xfId="0" applyNumberFormat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</cellXfs>
  <cellStyles count="15">
    <cellStyle name="Comma" xfId="1" builtinId="3"/>
    <cellStyle name="Comma 2" xfId="11" xr:uid="{3D85C813-1254-4136-988F-CD1958CF814D}"/>
    <cellStyle name="Comma 2 3" xfId="12" xr:uid="{B6707275-44DD-48AD-9608-3B11075F30B0}"/>
    <cellStyle name="Normal" xfId="0" builtinId="0"/>
    <cellStyle name="Normal 2" xfId="14" xr:uid="{8A5BB6E3-8EC4-499B-9D46-CF020571861F}"/>
    <cellStyle name="Normal 2 2" xfId="4" xr:uid="{00000000-0005-0000-0000-000002000000}"/>
    <cellStyle name="Normal 2 3" xfId="8" xr:uid="{54841436-238D-42A5-A434-041D9F8CCAEC}"/>
    <cellStyle name="Normal 3 2" xfId="13" xr:uid="{8B48F5C0-F1B0-4871-BF8F-9F28395951E4}"/>
    <cellStyle name="Normal 4 2" xfId="5" xr:uid="{00000000-0005-0000-0000-000003000000}"/>
    <cellStyle name="Normal 4 2 2" xfId="7" xr:uid="{F49B32D3-0A4E-414F-BE71-806EE811B61A}"/>
    <cellStyle name="Normal 4 2 3" xfId="6" xr:uid="{1D745280-CF55-4CD4-9E65-7E81241C6433}"/>
    <cellStyle name="Normal 4 3" xfId="2" xr:uid="{00000000-0005-0000-0000-000004000000}"/>
    <cellStyle name="Normal 5" xfId="3" xr:uid="{00000000-0005-0000-0000-000005000000}"/>
    <cellStyle name="Normal 5 2" xfId="10" xr:uid="{5B1ABFB9-E3C7-4368-A2A6-868871A9A660}"/>
    <cellStyle name="Normal_RIC-31" xfId="9" xr:uid="{19420546-0570-426B-8109-89050930B2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28575</xdr:rowOff>
    </xdr:from>
    <xdr:to>
      <xdr:col>1</xdr:col>
      <xdr:colOff>1541145</xdr:colOff>
      <xdr:row>4</xdr:row>
      <xdr:rowOff>207645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72D113-C65C-49D5-A09C-CAB6473BF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040" y="508635"/>
          <a:ext cx="1541145" cy="636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672354</xdr:colOff>
      <xdr:row>66</xdr:row>
      <xdr:rowOff>60957</xdr:rowOff>
    </xdr:from>
    <xdr:to>
      <xdr:col>14</xdr:col>
      <xdr:colOff>2689412</xdr:colOff>
      <xdr:row>66</xdr:row>
      <xdr:rowOff>675914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534FDF-B452-4FFF-8DD0-49B231CD7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30554" y="22311357"/>
          <a:ext cx="2017058" cy="614957"/>
        </a:xfrm>
        <a:prstGeom prst="rect">
          <a:avLst/>
        </a:prstGeom>
      </xdr:spPr>
    </xdr:pic>
    <xdr:clientData/>
  </xdr:twoCellAnchor>
  <xdr:twoCellAnchor editAs="oneCell">
    <xdr:from>
      <xdr:col>14</xdr:col>
      <xdr:colOff>2393578</xdr:colOff>
      <xdr:row>0</xdr:row>
      <xdr:rowOff>0</xdr:rowOff>
    </xdr:from>
    <xdr:to>
      <xdr:col>15</xdr:col>
      <xdr:colOff>1406918</xdr:colOff>
      <xdr:row>12</xdr:row>
      <xdr:rowOff>191187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D0706DD-39A0-4032-B9D0-70637A386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47296" y="0"/>
          <a:ext cx="2142022" cy="282681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GUYEN%20THI%20MINH%20HUE\DU%20LIEU%20S%20FURNITURE\KHACH%20HANG\INTERFURN\QUY%20CACH\151105QC%20CLERMONT%20(SX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A%20DINH%20GIANG\GIANG-SFURNITURE\2015\KHACH%20HANG\03-INTERFURN\LINE\CLERMONT\QUY%20CACH\170216%20QC%20CLERMONT%20(SX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GUYEN%20THI%20MINH%20HUE\DU%20LIEU%20S%20FURNITURE\KHACH%20HANG\INTERFURN\QUY%20CACH\151116%20QC%20CLERMONT%20(SX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\My%20Documents\Downloads\Nam%202011\Khach%20hang\Cty%20Mr%20Ty\Attachments_2011_08_25\110725%20CHARM%20-%20BOOKCASE%201DR,2DRWS,3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M-33"/>
      <sheetName val="CLM-32"/>
      <sheetName val="CLM-30"/>
      <sheetName val="CLM-29"/>
      <sheetName val="CLM-13"/>
      <sheetName val="CLM-12"/>
      <sheetName val="CLM-11"/>
      <sheetName val="CLM-10"/>
      <sheetName val="CLM-09"/>
      <sheetName val="CLM-08"/>
      <sheetName val="CLM-07"/>
      <sheetName val="CLM-06"/>
      <sheetName val="CLM-04"/>
      <sheetName val="CLM-03"/>
      <sheetName val="CT VẬT TƯ"/>
      <sheetName val="Z"/>
      <sheetName val="Load"/>
      <sheetName val="Pakage"/>
      <sheetName val="NL - MDF - Veneer"/>
      <sheetName val="Fitting"/>
      <sheetName val="Phu kien dong goi"/>
      <sheetName val="Gia thanh"/>
      <sheetName val="Chi tiet sp"/>
      <sheetName val="Đơn giá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">
          <cell r="B7" t="str">
            <v>Nút nhựa Silicon (Nhựa giảm chấn)</v>
          </cell>
        </row>
        <row r="8">
          <cell r="B8" t="str">
            <v>Bánh xe 20x50</v>
          </cell>
        </row>
        <row r="9">
          <cell r="B9" t="str">
            <v>Hít cửa tròn</v>
          </cell>
        </row>
        <row r="10">
          <cell r="B10" t="str">
            <v>Bát đỡ lưng 2x20x60</v>
          </cell>
        </row>
        <row r="11">
          <cell r="B11" t="str">
            <v>Bát bàn V50x56x4 (trái, phải)</v>
          </cell>
        </row>
        <row r="12">
          <cell r="B12" t="str">
            <v>Bát bàn V50x56x4 (trái, phải)</v>
          </cell>
        </row>
        <row r="13">
          <cell r="B13" t="str">
            <v>Bulon 10x60</v>
          </cell>
        </row>
        <row r="14">
          <cell r="B14" t="str">
            <v>Bulon 10x60</v>
          </cell>
        </row>
        <row r="15">
          <cell r="B15" t="str">
            <v>Bulon 10x60</v>
          </cell>
        </row>
        <row r="16">
          <cell r="B16" t="str">
            <v>Bulon 10x70</v>
          </cell>
        </row>
        <row r="17">
          <cell r="B17" t="str">
            <v>Bulon 10x70</v>
          </cell>
        </row>
        <row r="18">
          <cell r="B18" t="str">
            <v>Bulon 10x70</v>
          </cell>
        </row>
        <row r="19">
          <cell r="B19" t="str">
            <v>Bulon 10x80</v>
          </cell>
        </row>
        <row r="20">
          <cell r="B20" t="str">
            <v>Bulon 10x40</v>
          </cell>
        </row>
        <row r="21">
          <cell r="B21" t="str">
            <v>Bulon 10x40</v>
          </cell>
        </row>
        <row r="22">
          <cell r="B22" t="str">
            <v>Bulon 8x60</v>
          </cell>
        </row>
        <row r="23">
          <cell r="B23" t="str">
            <v xml:space="preserve">Chân đế </v>
          </cell>
        </row>
        <row r="24">
          <cell r="B24" t="str">
            <v>Minifit (Camlock)</v>
          </cell>
        </row>
        <row r="25">
          <cell r="B25" t="str">
            <v>Chốt tầng kính</v>
          </cell>
        </row>
        <row r="26">
          <cell r="B26" t="str">
            <v>Hai đầu ren 6x38</v>
          </cell>
        </row>
        <row r="27">
          <cell r="B27" t="str">
            <v>Hai đầu ren 6x45</v>
          </cell>
        </row>
        <row r="28">
          <cell r="B28" t="str">
            <v>Hai đầu ren 8x80</v>
          </cell>
        </row>
        <row r="29">
          <cell r="B29" t="str">
            <v>Hít cữa vuông</v>
          </cell>
        </row>
        <row r="30">
          <cell r="B30" t="str">
            <v>Khóa 10</v>
          </cell>
        </row>
        <row r="31">
          <cell r="B31" t="str">
            <v>Khóa 13</v>
          </cell>
        </row>
        <row r="32">
          <cell r="B32" t="str">
            <v>Khóa 17</v>
          </cell>
        </row>
        <row r="33">
          <cell r="B33" t="str">
            <v>Khóa mỏ vịt</v>
          </cell>
        </row>
        <row r="34">
          <cell r="B34" t="str">
            <v xml:space="preserve">KLG 2 </v>
          </cell>
        </row>
        <row r="35">
          <cell r="B35" t="str">
            <v>KLG 3</v>
          </cell>
        </row>
        <row r="36">
          <cell r="B36" t="str">
            <v>KLG 3</v>
          </cell>
        </row>
        <row r="37">
          <cell r="B37" t="str">
            <v>KLG 4</v>
          </cell>
        </row>
        <row r="38">
          <cell r="B38" t="str">
            <v>KLG 5</v>
          </cell>
        </row>
        <row r="39">
          <cell r="B39" t="str">
            <v>KLG 6</v>
          </cell>
        </row>
        <row r="40">
          <cell r="B40" t="str">
            <v>LGC 6×18</v>
          </cell>
        </row>
        <row r="41">
          <cell r="B41" t="str">
            <v>LGC 6×18</v>
          </cell>
        </row>
        <row r="42">
          <cell r="B42" t="str">
            <v>LGC 6×20</v>
          </cell>
        </row>
        <row r="43">
          <cell r="B43" t="str">
            <v>LGC 6×20</v>
          </cell>
        </row>
        <row r="44">
          <cell r="B44" t="str">
            <v>LGC 6×20</v>
          </cell>
        </row>
        <row r="45">
          <cell r="B45" t="str">
            <v>LGC 6×25</v>
          </cell>
        </row>
        <row r="46">
          <cell r="B46" t="str">
            <v>LGC 6×25</v>
          </cell>
        </row>
        <row r="47">
          <cell r="B47" t="str">
            <v>LGC 6×30</v>
          </cell>
        </row>
        <row r="48">
          <cell r="B48" t="str">
            <v>LGC 6×30</v>
          </cell>
        </row>
        <row r="49">
          <cell r="B49" t="str">
            <v>LGC 6×35</v>
          </cell>
        </row>
        <row r="50">
          <cell r="B50" t="str">
            <v>LGC 6×35</v>
          </cell>
        </row>
        <row r="51">
          <cell r="B51" t="str">
            <v>LGC 6×40</v>
          </cell>
        </row>
        <row r="52">
          <cell r="B52" t="str">
            <v>LGC 6×40</v>
          </cell>
        </row>
        <row r="53">
          <cell r="B53" t="str">
            <v>LGC 6×45</v>
          </cell>
        </row>
        <row r="54">
          <cell r="B54" t="str">
            <v>LGC 6×45</v>
          </cell>
        </row>
        <row r="55">
          <cell r="B55" t="str">
            <v>LGC 6×90</v>
          </cell>
        </row>
        <row r="56">
          <cell r="B56" t="str">
            <v>LGC 6×90</v>
          </cell>
        </row>
        <row r="57">
          <cell r="B57" t="str">
            <v>LGC 6x15</v>
          </cell>
        </row>
        <row r="58">
          <cell r="B58" t="str">
            <v>LGC 6x15</v>
          </cell>
        </row>
        <row r="59">
          <cell r="B59" t="str">
            <v>LGC 6x50</v>
          </cell>
        </row>
        <row r="60">
          <cell r="B60" t="str">
            <v>LGC 6x50</v>
          </cell>
        </row>
        <row r="61">
          <cell r="B61" t="str">
            <v>LGC 6x55</v>
          </cell>
        </row>
        <row r="62">
          <cell r="B62" t="str">
            <v>LGC 6x60</v>
          </cell>
        </row>
        <row r="63">
          <cell r="B63" t="str">
            <v>LGC 8x30</v>
          </cell>
        </row>
        <row r="64">
          <cell r="B64" t="str">
            <v>LGC 8x75</v>
          </cell>
        </row>
        <row r="65">
          <cell r="B65" t="str">
            <v>LGC đầu dài 10x60</v>
          </cell>
        </row>
        <row r="66">
          <cell r="B66" t="str">
            <v>LGC đầu dài 8x50</v>
          </cell>
        </row>
        <row r="67">
          <cell r="B67" t="str">
            <v>LGC ren gỗ 6×20</v>
          </cell>
        </row>
        <row r="68">
          <cell r="B68" t="str">
            <v>LGC ren gỗ 6×25</v>
          </cell>
        </row>
        <row r="69">
          <cell r="B69" t="str">
            <v xml:space="preserve">LGC ren gỗ 6×25 </v>
          </cell>
        </row>
        <row r="70">
          <cell r="B70" t="str">
            <v>LGC ren gỗ 6×35</v>
          </cell>
        </row>
        <row r="71">
          <cell r="B71" t="str">
            <v>LGC ren gỗ 6×60</v>
          </cell>
        </row>
        <row r="72">
          <cell r="B72" t="str">
            <v>Long đền 10×23x2</v>
          </cell>
        </row>
        <row r="73">
          <cell r="B73" t="str">
            <v>Long đền 10×23x2</v>
          </cell>
        </row>
        <row r="74">
          <cell r="B74" t="str">
            <v>Long đền 6×13x1</v>
          </cell>
        </row>
        <row r="75">
          <cell r="B75" t="str">
            <v>Long đền 6×13x1</v>
          </cell>
        </row>
        <row r="76">
          <cell r="B76" t="str">
            <v>Long đền 6x16x1</v>
          </cell>
        </row>
        <row r="77">
          <cell r="B77" t="str">
            <v>Long đền 6x16x1</v>
          </cell>
        </row>
        <row r="78">
          <cell r="B78" t="str">
            <v>Long đền 8x19x1,5</v>
          </cell>
        </row>
        <row r="79">
          <cell r="B79" t="str">
            <v>Long đền 8x19x1,5</v>
          </cell>
        </row>
        <row r="80">
          <cell r="B80" t="str">
            <v>Long đền vênh P10</v>
          </cell>
        </row>
        <row r="81">
          <cell r="B81" t="str">
            <v>Long đền vênh P6</v>
          </cell>
        </row>
        <row r="82">
          <cell r="B82" t="str">
            <v>Long đền vênh P8</v>
          </cell>
        </row>
        <row r="83">
          <cell r="B83" t="str">
            <v>Nẹp nhựa đen 1000mm</v>
          </cell>
        </row>
        <row r="84">
          <cell r="B84" t="str">
            <v>Nẹp nhựa đen 650mm</v>
          </cell>
        </row>
        <row r="85">
          <cell r="B85" t="str">
            <v>Nẹp nhựa đen 850mm</v>
          </cell>
        </row>
        <row r="86">
          <cell r="B86" t="str">
            <v>Ốc cấy có vành 6×13</v>
          </cell>
        </row>
        <row r="87">
          <cell r="B87" t="str">
            <v>Ốc cấy có vành 6×20</v>
          </cell>
        </row>
        <row r="88">
          <cell r="B88" t="str">
            <v>Ốc cấy có vành 8×20</v>
          </cell>
        </row>
        <row r="89">
          <cell r="B89" t="str">
            <v>Ốc cấy có vành 8×25</v>
          </cell>
        </row>
        <row r="90">
          <cell r="B90" t="str">
            <v>Ốc cấy không vành 4×10</v>
          </cell>
        </row>
        <row r="91">
          <cell r="B91" t="str">
            <v>Ốc cấy không vành 6×13</v>
          </cell>
        </row>
        <row r="92">
          <cell r="B92" t="str">
            <v>Ốc cấy không vành 6×20</v>
          </cell>
        </row>
        <row r="93">
          <cell r="B93" t="str">
            <v>Ốc cấy không vành 8×15</v>
          </cell>
        </row>
        <row r="94">
          <cell r="B94" t="str">
            <v>Ốc cấy không vành 8×20</v>
          </cell>
        </row>
        <row r="95">
          <cell r="B95" t="str">
            <v>Ốc cấy không vành 8×25</v>
          </cell>
        </row>
        <row r="96">
          <cell r="B96" t="str">
            <v>Sò sắt 10×30</v>
          </cell>
        </row>
        <row r="97">
          <cell r="B97" t="str">
            <v>Sò sắt 10×40</v>
          </cell>
        </row>
        <row r="98">
          <cell r="B98" t="str">
            <v>Sò sắt 8×23</v>
          </cell>
        </row>
        <row r="99">
          <cell r="B99" t="str">
            <v>Sò sắt 8×25</v>
          </cell>
        </row>
        <row r="100">
          <cell r="B100" t="str">
            <v>Tán M5</v>
          </cell>
        </row>
        <row r="101">
          <cell r="B101" t="str">
            <v>Tán M8</v>
          </cell>
        </row>
        <row r="102">
          <cell r="B102" t="str">
            <v>Vít đầu côn 3,5×12</v>
          </cell>
        </row>
        <row r="103">
          <cell r="B103" t="str">
            <v>Vít đầu côn 3,5×12 (Nhiệt luyện)</v>
          </cell>
        </row>
        <row r="104">
          <cell r="B104" t="str">
            <v>Vít đầu côn 3,5×15</v>
          </cell>
        </row>
        <row r="105">
          <cell r="B105" t="str">
            <v>Vít đầu côn 3,5×15 (Nhiệt luyện)</v>
          </cell>
        </row>
        <row r="106">
          <cell r="B106" t="str">
            <v>Vít đầu côn 3,5×20</v>
          </cell>
        </row>
        <row r="107">
          <cell r="B107" t="str">
            <v>Vít đầu côn 3,5×20 (Nhiệt luyện)</v>
          </cell>
        </row>
        <row r="108">
          <cell r="B108" t="str">
            <v>Vít đầu côn 3×10</v>
          </cell>
        </row>
        <row r="109">
          <cell r="B109" t="str">
            <v>Vít đầu côn 3×12 nhiệt luyện</v>
          </cell>
        </row>
        <row r="110">
          <cell r="B110" t="str">
            <v>Vít đầu côn 3×15</v>
          </cell>
        </row>
        <row r="111">
          <cell r="B111" t="str">
            <v>Vít đầu côn 3×15 nhiệt luyện</v>
          </cell>
        </row>
        <row r="112">
          <cell r="B112" t="str">
            <v>Vít đầu côn 3×20</v>
          </cell>
        </row>
        <row r="113">
          <cell r="B113" t="str">
            <v>Vít đầu côn 3×20 nhiệt luyện</v>
          </cell>
        </row>
        <row r="114">
          <cell r="B114" t="str">
            <v>Vít đầu côn 4×12</v>
          </cell>
        </row>
        <row r="115">
          <cell r="B115" t="str">
            <v>Vít đầu côn 4×15</v>
          </cell>
        </row>
        <row r="116">
          <cell r="B116" t="str">
            <v>Vít đầu côn 4×15 nhiệt luyện</v>
          </cell>
        </row>
        <row r="117">
          <cell r="B117" t="str">
            <v>Vít đầu côn 4×20</v>
          </cell>
        </row>
        <row r="118">
          <cell r="B118" t="str">
            <v>Vít đầu côn 4×25</v>
          </cell>
        </row>
        <row r="119">
          <cell r="B119" t="str">
            <v>Vít đầu côn 4×30</v>
          </cell>
        </row>
        <row r="120">
          <cell r="B120" t="str">
            <v>Vít đầu côn 4×35</v>
          </cell>
        </row>
        <row r="121">
          <cell r="B121" t="str">
            <v>Vít đầu côn 4×40</v>
          </cell>
        </row>
        <row r="122">
          <cell r="B122" t="str">
            <v>Vít đầu côn 4×50</v>
          </cell>
        </row>
        <row r="123">
          <cell r="B123" t="str">
            <v>Vít đầu côn 5×20</v>
          </cell>
        </row>
        <row r="124">
          <cell r="B124" t="str">
            <v>Vít đầu côn 5×25</v>
          </cell>
        </row>
        <row r="125">
          <cell r="B125" t="str">
            <v>Vít đầu côn 5×30</v>
          </cell>
        </row>
        <row r="126">
          <cell r="B126" t="str">
            <v>Vít đầu côn 5×35</v>
          </cell>
        </row>
        <row r="127">
          <cell r="B127" t="str">
            <v>Vít đầu côn 5×40</v>
          </cell>
        </row>
        <row r="128">
          <cell r="B128" t="str">
            <v>Vít đầu côn 5×50</v>
          </cell>
        </row>
        <row r="129">
          <cell r="B129" t="str">
            <v>Vít đầu côn 5×60</v>
          </cell>
        </row>
        <row r="130">
          <cell r="B130" t="str">
            <v>Vít đầu côn răng thưa 4×15</v>
          </cell>
        </row>
        <row r="131">
          <cell r="B131" t="str">
            <v>Vít đầu côn răng thưa 4×20</v>
          </cell>
        </row>
        <row r="132">
          <cell r="B132" t="str">
            <v>Vít đầu côn răng thưa  4×25</v>
          </cell>
        </row>
        <row r="133">
          <cell r="B133" t="str">
            <v>Vít đầu côn răng thưa  4×30</v>
          </cell>
        </row>
        <row r="134">
          <cell r="B134" t="str">
            <v>Vít đầu côn răng thưa  4×35</v>
          </cell>
        </row>
        <row r="135">
          <cell r="B135" t="str">
            <v>Vít đầu côn răng thưa  4×40</v>
          </cell>
        </row>
        <row r="136">
          <cell r="B136" t="str">
            <v>Vít đầu côn răng thưa  4×50</v>
          </cell>
        </row>
        <row r="137">
          <cell r="B137" t="str">
            <v>Vít đầu dù 3,5×15</v>
          </cell>
        </row>
        <row r="138">
          <cell r="B138" t="str">
            <v>Vít đầu dù 3×10</v>
          </cell>
        </row>
        <row r="139">
          <cell r="B139" t="str">
            <v>Vít đầu dù 3×15</v>
          </cell>
        </row>
        <row r="140">
          <cell r="B140" t="str">
            <v>Vít đầu dù 3×20</v>
          </cell>
        </row>
        <row r="141">
          <cell r="B141" t="str">
            <v>Vít đầu dù 4×15</v>
          </cell>
        </row>
        <row r="142">
          <cell r="B142" t="str">
            <v>Vít đầu dù 4×20</v>
          </cell>
        </row>
        <row r="143">
          <cell r="B143" t="str">
            <v>Vít đầu dù 4x25</v>
          </cell>
        </row>
        <row r="144">
          <cell r="B144" t="str">
            <v>Vít đầu dù 4x45</v>
          </cell>
        </row>
        <row r="145">
          <cell r="B145" t="str">
            <v>Vít đầu dù 4x50</v>
          </cell>
        </row>
        <row r="146">
          <cell r="B146" t="str">
            <v>Vít đầu dù 5x60</v>
          </cell>
        </row>
        <row r="147">
          <cell r="B147" t="str">
            <v>Ray trượt giảm chấn 2 tầng DTC L350</v>
          </cell>
        </row>
        <row r="148">
          <cell r="B148" t="str">
            <v>Ray trượt giảm chấn 2 tầng DTC L300</v>
          </cell>
        </row>
        <row r="149">
          <cell r="B149" t="str">
            <v>Ray trượt giảm chấn 3 tầng DTC L350</v>
          </cell>
        </row>
        <row r="150">
          <cell r="B150" t="str">
            <v>Ray trượt giảm chấn 3 tầng DTC L300</v>
          </cell>
        </row>
        <row r="151">
          <cell r="B151" t="str">
            <v>Ray trượt thép 35x1050x780</v>
          </cell>
        </row>
        <row r="152">
          <cell r="B152" t="str">
            <v>Ray trượt thép 35x1010x570</v>
          </cell>
        </row>
        <row r="153">
          <cell r="B153" t="str">
            <v>Ray trượt thép 35x600x400</v>
          </cell>
        </row>
        <row r="154">
          <cell r="B154" t="str">
            <v>Bánh xe có khóa ф 75</v>
          </cell>
        </row>
        <row r="155">
          <cell r="B155" t="str">
            <v>Bánh xe không khóa ф 75</v>
          </cell>
        </row>
        <row r="156">
          <cell r="B156" t="str">
            <v>Bản lề giảm chấn DTC</v>
          </cell>
        </row>
        <row r="157">
          <cell r="B157" t="str">
            <v>Bộ mâm xoay 250x250mm</v>
          </cell>
        </row>
        <row r="158">
          <cell r="B158" t="str">
            <v>Bộ mâm xoay 200x200mm</v>
          </cell>
        </row>
        <row r="159">
          <cell r="B159" t="str">
            <v>Bản lề giảm chấn Thanh Ngọc</v>
          </cell>
        </row>
        <row r="160">
          <cell r="B160" t="str">
            <v>Bản lề chữ thập (T)</v>
          </cell>
        </row>
        <row r="161">
          <cell r="B161" t="str">
            <v>Bản lề cù chỏ</v>
          </cell>
        </row>
        <row r="162">
          <cell r="B162" t="str">
            <v>Bản lề lá 7F</v>
          </cell>
        </row>
        <row r="163">
          <cell r="B163" t="str">
            <v>Bánh xe 30mm</v>
          </cell>
        </row>
        <row r="164">
          <cell r="B164" t="str">
            <v>Bánh xe cửa lùa (Dùng cho ray trượt UV)</v>
          </cell>
        </row>
        <row r="165">
          <cell r="B165" t="str">
            <v>Bát 20x25x100</v>
          </cell>
        </row>
        <row r="166">
          <cell r="B166" t="str">
            <v>Bát chống nứt 25x50</v>
          </cell>
        </row>
        <row r="167">
          <cell r="B167" t="str">
            <v>Bát bắt ray trượt 2x20x20x40 (Khoan lã trong)</v>
          </cell>
        </row>
        <row r="168">
          <cell r="B168" t="str">
            <v>Bát bắt trục xoay 2x20x20x40 (Khoan lã ngoài)</v>
          </cell>
        </row>
        <row r="169">
          <cell r="B169" t="str">
            <v>Bát gài mặt phụ 2x30x40</v>
          </cell>
        </row>
        <row r="170">
          <cell r="B170" t="str">
            <v>Bát L đỡ mặt phụ 3x15x75/45</v>
          </cell>
        </row>
        <row r="171">
          <cell r="B171" t="str">
            <v>Bát chống nứt 3x20x50</v>
          </cell>
        </row>
        <row r="172">
          <cell r="B172" t="str">
            <v>Bát đỡ gỗ bắt trục xoay 5x40x160</v>
          </cell>
        </row>
        <row r="173">
          <cell r="B173" t="str">
            <v>Bộ bas giường L120</v>
          </cell>
        </row>
        <row r="174">
          <cell r="B174" t="str">
            <v>Bộ bát giường L180</v>
          </cell>
        </row>
        <row r="175">
          <cell r="B175" t="str">
            <v>Bộ bát giường lớn BH</v>
          </cell>
        </row>
        <row r="176">
          <cell r="B176" t="str">
            <v>Bộ chân nhựa giường</v>
          </cell>
        </row>
        <row r="177">
          <cell r="B177" t="str">
            <v>Bát đỡ mặt phụ L5x40x86x270</v>
          </cell>
        </row>
        <row r="178">
          <cell r="B178" t="str">
            <v>Bát đỡ mặt phụ L5x50x90x270</v>
          </cell>
        </row>
        <row r="179">
          <cell r="B179" t="str">
            <v>Khóa mỏ vịt</v>
          </cell>
        </row>
        <row r="180">
          <cell r="B180" t="str">
            <v>Bộ khóa Barlock</v>
          </cell>
        </row>
        <row r="181">
          <cell r="B181" t="str">
            <v>Bát xoay 2x23x30x59</v>
          </cell>
        </row>
        <row r="182">
          <cell r="B182" t="str">
            <v>Bộ trục xoay có tay cầm L760</v>
          </cell>
        </row>
        <row r="183">
          <cell r="B183" t="str">
            <v>Bộ trục xoay không tay cầm L610-690mm</v>
          </cell>
        </row>
        <row r="184">
          <cell r="B184" t="str">
            <v>Bộ trục xoay không tay cầm L700-750mm</v>
          </cell>
        </row>
        <row r="185">
          <cell r="B185" t="str">
            <v>Chân bàn thường 40x100x734x990</v>
          </cell>
        </row>
        <row r="186">
          <cell r="B186" t="str">
            <v>Chân bàn trượt 40x100x731x990</v>
          </cell>
        </row>
        <row r="187">
          <cell r="B187" t="str">
            <v>Chốt định vị 6x65</v>
          </cell>
        </row>
        <row r="188">
          <cell r="B188" t="str">
            <v>Chốt trượt trên (Dùng co ray trượt UV)</v>
          </cell>
        </row>
        <row r="189">
          <cell r="B189" t="str">
            <v>Chốt đỡ kệ</v>
          </cell>
        </row>
        <row r="190">
          <cell r="B190" t="str">
            <v>Chốt lò xo (Dùng cho ray trượt UV)</v>
          </cell>
        </row>
        <row r="191">
          <cell r="B191" t="str">
            <v>Chốt chặn học kéo 8x30mm</v>
          </cell>
        </row>
        <row r="192">
          <cell r="B192" t="str">
            <v>Chốt Oval + chốt dương 6</v>
          </cell>
        </row>
        <row r="193">
          <cell r="B193" t="str">
            <v>Cụm Khung kệ X 25x25x344x780x1344</v>
          </cell>
        </row>
        <row r="194">
          <cell r="B194" t="str">
            <v>Cụm khung V 25x25x294x394x500</v>
          </cell>
        </row>
        <row r="195">
          <cell r="B195" t="str">
            <v>Đế nhựa tăng đơ 8x30</v>
          </cell>
        </row>
        <row r="196">
          <cell r="B196" t="str">
            <v>Đế nhựa tăng đơ 8x13x20</v>
          </cell>
        </row>
        <row r="197">
          <cell r="B197" t="str">
            <v>Đế nhựa trong 1x40x40</v>
          </cell>
        </row>
        <row r="198">
          <cell r="B198" t="str">
            <v>Đế nhựa trong 2x40x40</v>
          </cell>
        </row>
        <row r="199">
          <cell r="B199" t="str">
            <v xml:space="preserve">KLG 5 </v>
          </cell>
        </row>
        <row r="200">
          <cell r="B200" t="str">
            <v>Nhựa Oval 2 lỗ</v>
          </cell>
        </row>
        <row r="201">
          <cell r="B201" t="str">
            <v>Ray trượt bi L1000 (8034)</v>
          </cell>
        </row>
        <row r="202">
          <cell r="B202" t="str">
            <v>Ray trượt cáp L1000 cánh 280</v>
          </cell>
        </row>
        <row r="203">
          <cell r="B203" t="str">
            <v>Ray trượt cáp L1000 cánh 350</v>
          </cell>
        </row>
        <row r="204">
          <cell r="B204" t="str">
            <v>Ray trượt bi 3 tầng L300</v>
          </cell>
        </row>
        <row r="205">
          <cell r="B205" t="str">
            <v>Ray trượt bi 3 tầng L350</v>
          </cell>
        </row>
        <row r="206">
          <cell r="B206" t="str">
            <v>Tay nắm bắt mặt phụ (Alacarte)</v>
          </cell>
        </row>
        <row r="207">
          <cell r="B207" t="str">
            <v>Tay nắm cong Ric-01</v>
          </cell>
        </row>
        <row r="208">
          <cell r="B208" t="str">
            <v>Tay nắm Kozani</v>
          </cell>
        </row>
        <row r="209">
          <cell r="B209" t="str">
            <v>Tay nắm Railway</v>
          </cell>
        </row>
        <row r="210">
          <cell r="B210" t="str">
            <v>Tay nắm Malton</v>
          </cell>
        </row>
        <row r="211">
          <cell r="B211" t="str">
            <v>Tay nắm cong Cuver (Inter)</v>
          </cell>
        </row>
        <row r="212">
          <cell r="B212" t="str">
            <v>Tay nắm thẳng 150 (JP)</v>
          </cell>
        </row>
        <row r="213">
          <cell r="B213" t="str">
            <v>Tay nắm thẳng 200 (JP)</v>
          </cell>
        </row>
        <row r="214">
          <cell r="B214" t="str">
            <v>Bản lề Inox 5F (JP)</v>
          </cell>
        </row>
        <row r="215">
          <cell r="B215" t="str">
            <v>Thanh chống mo T40x260</v>
          </cell>
        </row>
        <row r="216">
          <cell r="B216" t="str">
            <v>Thanh chống mo T40x870</v>
          </cell>
        </row>
        <row r="217">
          <cell r="B217" t="str">
            <v>Thanh chống mo T40x900</v>
          </cell>
        </row>
        <row r="218">
          <cell r="B218" t="str">
            <v>Thanh chống mo V15x15x430</v>
          </cell>
        </row>
        <row r="219">
          <cell r="B219" t="str">
            <v>Thanh chốngmo V15x15x820</v>
          </cell>
        </row>
        <row r="220">
          <cell r="B220" t="str">
            <v>Thanh chống mo V3x15x15x650</v>
          </cell>
        </row>
        <row r="221">
          <cell r="B221" t="str">
            <v>Thanh chống mo V3x15x17x400</v>
          </cell>
        </row>
        <row r="222">
          <cell r="B222" t="str">
            <v>Thanh chống mo V3x15x17x820</v>
          </cell>
        </row>
        <row r="223">
          <cell r="B223" t="str">
            <v>Khung sắt 50x876x1200mm</v>
          </cell>
        </row>
        <row r="224">
          <cell r="B224" t="str">
            <v>Ray trượt U,V L1045</v>
          </cell>
        </row>
        <row r="225">
          <cell r="B225" t="str">
            <v>Ray trượt U,V L1070</v>
          </cell>
        </row>
        <row r="226">
          <cell r="B226" t="str">
            <v>Ray trượt U,V L1072</v>
          </cell>
        </row>
        <row r="227">
          <cell r="B227" t="str">
            <v>Ray trượt U,V L1100</v>
          </cell>
        </row>
        <row r="228">
          <cell r="B228" t="str">
            <v>Ray trượt U,V L1110</v>
          </cell>
        </row>
        <row r="229">
          <cell r="B229" t="str">
            <v>Ray trượt U,V L1195</v>
          </cell>
        </row>
        <row r="230">
          <cell r="B230" t="str">
            <v>Ray trượt U,V L1346</v>
          </cell>
        </row>
        <row r="231">
          <cell r="B231" t="str">
            <v>Ray trượt U,V L1350</v>
          </cell>
        </row>
        <row r="232">
          <cell r="B232" t="str">
            <v>Ray trượt U,V L780</v>
          </cell>
        </row>
        <row r="233">
          <cell r="B233" t="str">
            <v>Ray trượt Ý L1380</v>
          </cell>
        </row>
      </sheetData>
      <sheetData sheetId="20"/>
      <sheetData sheetId="21"/>
      <sheetData sheetId="22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M-33"/>
      <sheetName val="CLM-32"/>
      <sheetName val="CLM-30"/>
      <sheetName val="CLM-29"/>
      <sheetName val="CLM-13"/>
      <sheetName val="CLM-12"/>
      <sheetName val="CLM-11"/>
      <sheetName val="CLM-10"/>
      <sheetName val="CLM-09"/>
      <sheetName val="CLM-08"/>
      <sheetName val="CLM-07"/>
      <sheetName val="CLM-06"/>
      <sheetName val="CLM-04"/>
      <sheetName val="CLM-03"/>
      <sheetName val="CT VẬT TƯ"/>
      <sheetName val="Z"/>
      <sheetName val="Load"/>
      <sheetName val="Pakage"/>
      <sheetName val="NL - MDF - Veneer"/>
      <sheetName val="Fitting"/>
      <sheetName val="Phu kien dong goi"/>
      <sheetName val="Gia thanh"/>
      <sheetName val="Chi tiet 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7">
          <cell r="B7" t="str">
            <v>Nút nhựa Silicon (Nhựa giảm chấn)</v>
          </cell>
        </row>
        <row r="8">
          <cell r="B8" t="str">
            <v>Bánh xe 20x50</v>
          </cell>
        </row>
        <row r="9">
          <cell r="B9" t="str">
            <v>Hít cửa tròn</v>
          </cell>
        </row>
        <row r="10">
          <cell r="B10" t="str">
            <v>Bát đỡ lưng 2x20x60</v>
          </cell>
        </row>
        <row r="11">
          <cell r="B11" t="str">
            <v>Bát bàn V50x56x4 (trái, phải)</v>
          </cell>
        </row>
        <row r="12">
          <cell r="B12" t="str">
            <v>Bát bàn V50x56x4 (trái, phải)</v>
          </cell>
        </row>
        <row r="13">
          <cell r="B13" t="str">
            <v>Bulon 10x60</v>
          </cell>
        </row>
        <row r="14">
          <cell r="B14" t="str">
            <v>Bulon 10x60</v>
          </cell>
        </row>
        <row r="15">
          <cell r="B15" t="str">
            <v>Bulon 10x60</v>
          </cell>
        </row>
        <row r="16">
          <cell r="B16" t="str">
            <v>Bulon 10x70</v>
          </cell>
        </row>
        <row r="17">
          <cell r="B17" t="str">
            <v>Bulon 10x70</v>
          </cell>
        </row>
        <row r="18">
          <cell r="B18" t="str">
            <v>Bulon 10x70</v>
          </cell>
        </row>
        <row r="19">
          <cell r="B19" t="str">
            <v>Bulon 10x80</v>
          </cell>
        </row>
        <row r="20">
          <cell r="B20" t="str">
            <v>Bulon 10x40</v>
          </cell>
        </row>
        <row r="21">
          <cell r="B21" t="str">
            <v>Bulon 10x40</v>
          </cell>
        </row>
        <row r="22">
          <cell r="B22" t="str">
            <v>Bulon 8x60</v>
          </cell>
        </row>
        <row r="23">
          <cell r="B23" t="str">
            <v xml:space="preserve">Chân đế </v>
          </cell>
        </row>
        <row r="24">
          <cell r="B24" t="str">
            <v>Minifit (Camlock)</v>
          </cell>
        </row>
        <row r="25">
          <cell r="B25" t="str">
            <v>Chốt tầng kính</v>
          </cell>
        </row>
        <row r="26">
          <cell r="B26" t="str">
            <v>Hai đầu ren 6x38</v>
          </cell>
        </row>
        <row r="27">
          <cell r="B27" t="str">
            <v>Hai đầu ren 6x45</v>
          </cell>
        </row>
        <row r="28">
          <cell r="B28" t="str">
            <v>Hai đầu ren 8x80</v>
          </cell>
        </row>
        <row r="29">
          <cell r="B29" t="str">
            <v>Hít cữa vuông</v>
          </cell>
        </row>
        <row r="30">
          <cell r="B30" t="str">
            <v>Khóa 10</v>
          </cell>
        </row>
        <row r="31">
          <cell r="B31" t="str">
            <v>Khóa 13</v>
          </cell>
        </row>
        <row r="32">
          <cell r="B32" t="str">
            <v>Khóa 17</v>
          </cell>
        </row>
        <row r="33">
          <cell r="B33" t="str">
            <v>Khóa mỏ vịt</v>
          </cell>
        </row>
        <row r="34">
          <cell r="B34" t="str">
            <v xml:space="preserve">KLG 2 </v>
          </cell>
        </row>
        <row r="35">
          <cell r="B35" t="str">
            <v>KLG 3</v>
          </cell>
        </row>
        <row r="36">
          <cell r="B36" t="str">
            <v>KLG 3</v>
          </cell>
        </row>
        <row r="37">
          <cell r="B37" t="str">
            <v>KLG 4</v>
          </cell>
        </row>
        <row r="38">
          <cell r="B38" t="str">
            <v>KLG 5</v>
          </cell>
        </row>
        <row r="39">
          <cell r="B39" t="str">
            <v>KLG 6</v>
          </cell>
        </row>
        <row r="40">
          <cell r="B40" t="str">
            <v>LGC 6×18</v>
          </cell>
        </row>
        <row r="41">
          <cell r="B41" t="str">
            <v>LGC 6×18</v>
          </cell>
        </row>
        <row r="42">
          <cell r="B42" t="str">
            <v>LGC 6×20</v>
          </cell>
        </row>
        <row r="43">
          <cell r="B43" t="str">
            <v>LGC 6×20</v>
          </cell>
        </row>
        <row r="44">
          <cell r="B44" t="str">
            <v>LGC 6×20</v>
          </cell>
        </row>
        <row r="45">
          <cell r="B45" t="str">
            <v>LGC 6×25</v>
          </cell>
        </row>
        <row r="46">
          <cell r="B46" t="str">
            <v>LGC 6×25</v>
          </cell>
        </row>
        <row r="47">
          <cell r="B47" t="str">
            <v>LGC 6×30</v>
          </cell>
        </row>
        <row r="48">
          <cell r="B48" t="str">
            <v>LGC 6×30</v>
          </cell>
        </row>
        <row r="49">
          <cell r="B49" t="str">
            <v>LGC 6×35</v>
          </cell>
        </row>
        <row r="50">
          <cell r="B50" t="str">
            <v>LGC 6×35</v>
          </cell>
        </row>
        <row r="51">
          <cell r="B51" t="str">
            <v>LGC 6×40</v>
          </cell>
        </row>
        <row r="52">
          <cell r="B52" t="str">
            <v>LGC 6×40</v>
          </cell>
        </row>
        <row r="53">
          <cell r="B53" t="str">
            <v>LGC 6×45</v>
          </cell>
        </row>
        <row r="54">
          <cell r="B54" t="str">
            <v>LGC 6×45</v>
          </cell>
        </row>
        <row r="55">
          <cell r="B55" t="str">
            <v>LGC 6×90</v>
          </cell>
        </row>
        <row r="56">
          <cell r="B56" t="str">
            <v>LGC 6×90</v>
          </cell>
        </row>
        <row r="57">
          <cell r="B57" t="str">
            <v>LGC 6x15</v>
          </cell>
        </row>
        <row r="58">
          <cell r="B58" t="str">
            <v>LGC 6x15</v>
          </cell>
        </row>
        <row r="59">
          <cell r="B59" t="str">
            <v>LGC 6x50</v>
          </cell>
        </row>
        <row r="60">
          <cell r="B60" t="str">
            <v>LGC 6x50</v>
          </cell>
        </row>
        <row r="61">
          <cell r="B61" t="str">
            <v>LGC 6x55</v>
          </cell>
        </row>
        <row r="62">
          <cell r="B62" t="str">
            <v>LGC 6x60</v>
          </cell>
        </row>
        <row r="63">
          <cell r="B63" t="str">
            <v>LGC 8x30</v>
          </cell>
        </row>
        <row r="64">
          <cell r="B64" t="str">
            <v>LGC 8x75</v>
          </cell>
        </row>
        <row r="65">
          <cell r="B65" t="str">
            <v>LGC đầu dài 10x60</v>
          </cell>
        </row>
        <row r="66">
          <cell r="B66" t="str">
            <v>LGC đầu dài 8x50</v>
          </cell>
        </row>
        <row r="67">
          <cell r="B67" t="str">
            <v>LGC ren gỗ 6×20</v>
          </cell>
        </row>
        <row r="68">
          <cell r="B68" t="str">
            <v>LGC ren gỗ 6×25</v>
          </cell>
        </row>
        <row r="69">
          <cell r="B69" t="str">
            <v xml:space="preserve">LGC ren gỗ 6×25 </v>
          </cell>
        </row>
        <row r="70">
          <cell r="B70" t="str">
            <v>LGC ren gỗ 6×35</v>
          </cell>
        </row>
        <row r="71">
          <cell r="B71" t="str">
            <v>LGC ren gỗ 6×60</v>
          </cell>
        </row>
        <row r="72">
          <cell r="B72" t="str">
            <v>Long đền 10×23x2</v>
          </cell>
        </row>
        <row r="73">
          <cell r="B73" t="str">
            <v>Long đền 10×23x2</v>
          </cell>
        </row>
        <row r="74">
          <cell r="B74" t="str">
            <v>Long đền 6×13x1</v>
          </cell>
        </row>
        <row r="75">
          <cell r="B75" t="str">
            <v>Long đền 6×13x1</v>
          </cell>
        </row>
        <row r="76">
          <cell r="B76" t="str">
            <v>Long đền 6x16x1</v>
          </cell>
        </row>
        <row r="77">
          <cell r="B77" t="str">
            <v>Long đền 6x16x1</v>
          </cell>
        </row>
        <row r="78">
          <cell r="B78" t="str">
            <v>Long đền 8x19x1,5</v>
          </cell>
        </row>
        <row r="79">
          <cell r="B79" t="str">
            <v>Long đền 8x19x1,5</v>
          </cell>
        </row>
        <row r="80">
          <cell r="B80" t="str">
            <v>Long đền vênh P10</v>
          </cell>
        </row>
        <row r="81">
          <cell r="B81" t="str">
            <v>Long đền vênh P6</v>
          </cell>
        </row>
        <row r="82">
          <cell r="B82" t="str">
            <v>Long đền vênh P8</v>
          </cell>
        </row>
        <row r="83">
          <cell r="B83" t="str">
            <v>Nẹp nhựa đen 1000mm</v>
          </cell>
        </row>
        <row r="84">
          <cell r="B84" t="str">
            <v>Nẹp nhựa đen 650mm</v>
          </cell>
        </row>
        <row r="85">
          <cell r="B85" t="str">
            <v>Nẹp nhựa đen 850mm</v>
          </cell>
        </row>
        <row r="86">
          <cell r="B86" t="str">
            <v>Ốc cấy có vành 6×13</v>
          </cell>
        </row>
        <row r="87">
          <cell r="B87" t="str">
            <v>Ốc cấy có vành 6×20</v>
          </cell>
        </row>
        <row r="88">
          <cell r="B88" t="str">
            <v>Ốc cấy có vành 8×20</v>
          </cell>
        </row>
        <row r="89">
          <cell r="B89" t="str">
            <v>Ốc cấy có vành 8×25</v>
          </cell>
        </row>
        <row r="90">
          <cell r="B90" t="str">
            <v>Ốc cấy không vành 4×10</v>
          </cell>
        </row>
        <row r="91">
          <cell r="B91" t="str">
            <v>Ốc cấy không vành 6×13</v>
          </cell>
        </row>
        <row r="92">
          <cell r="B92" t="str">
            <v>Ốc cấy không vành 6×20</v>
          </cell>
        </row>
        <row r="93">
          <cell r="B93" t="str">
            <v>Ốc cấy không vành 8×15</v>
          </cell>
        </row>
        <row r="94">
          <cell r="B94" t="str">
            <v>Ốc cấy không vành 8×20</v>
          </cell>
        </row>
        <row r="95">
          <cell r="B95" t="str">
            <v>Ốc cấy không vành 8×25</v>
          </cell>
        </row>
        <row r="96">
          <cell r="B96" t="str">
            <v>Sò sắt 10×30</v>
          </cell>
        </row>
        <row r="97">
          <cell r="B97" t="str">
            <v>Sò sắt 10×40</v>
          </cell>
        </row>
        <row r="98">
          <cell r="B98" t="str">
            <v>Sò sắt 8×23</v>
          </cell>
        </row>
        <row r="99">
          <cell r="B99" t="str">
            <v>Sò sắt 8×25</v>
          </cell>
        </row>
        <row r="100">
          <cell r="B100" t="str">
            <v>Tán M5</v>
          </cell>
        </row>
        <row r="101">
          <cell r="B101" t="str">
            <v>Tán M8</v>
          </cell>
        </row>
        <row r="102">
          <cell r="B102" t="str">
            <v>Vít đầu côn 3,5×12</v>
          </cell>
        </row>
        <row r="103">
          <cell r="B103" t="str">
            <v>Vít đầu côn 3,5×12 (Nhiệt luyện)</v>
          </cell>
        </row>
        <row r="104">
          <cell r="B104" t="str">
            <v>Vít đầu côn 3,5×15</v>
          </cell>
        </row>
        <row r="105">
          <cell r="B105" t="str">
            <v>Vít đầu côn 3,5×15 (Nhiệt luyện)</v>
          </cell>
        </row>
        <row r="106">
          <cell r="B106" t="str">
            <v>Vít đầu côn 3,5×20</v>
          </cell>
        </row>
        <row r="107">
          <cell r="B107" t="str">
            <v>Vít đầu côn 3,5×20 (Nhiệt luyện)</v>
          </cell>
        </row>
        <row r="108">
          <cell r="B108" t="str">
            <v>Vít đầu côn 3×10</v>
          </cell>
        </row>
        <row r="109">
          <cell r="B109" t="str">
            <v>Vít đầu côn 3×12 nhiệt luyện</v>
          </cell>
        </row>
        <row r="110">
          <cell r="B110" t="str">
            <v>Vít đầu côn 3×15</v>
          </cell>
        </row>
        <row r="111">
          <cell r="B111" t="str">
            <v>Vít đầu côn 3×15 nhiệt luyện</v>
          </cell>
        </row>
        <row r="112">
          <cell r="B112" t="str">
            <v>Vít đầu côn 3×20</v>
          </cell>
        </row>
        <row r="113">
          <cell r="B113" t="str">
            <v>Vít đầu côn 3×20 nhiệt luyện</v>
          </cell>
        </row>
        <row r="114">
          <cell r="B114" t="str">
            <v>Vít đầu côn 4×12</v>
          </cell>
        </row>
        <row r="115">
          <cell r="B115" t="str">
            <v>Vít đầu côn 4×15</v>
          </cell>
        </row>
        <row r="116">
          <cell r="B116" t="str">
            <v>Vít đầu côn 4×15 nhiệt luyện</v>
          </cell>
        </row>
        <row r="117">
          <cell r="B117" t="str">
            <v>Vít đầu côn 4×20</v>
          </cell>
        </row>
        <row r="118">
          <cell r="B118" t="str">
            <v>Vít đầu côn 4×25</v>
          </cell>
        </row>
        <row r="119">
          <cell r="B119" t="str">
            <v>Vít đầu côn 4×30</v>
          </cell>
        </row>
        <row r="120">
          <cell r="B120" t="str">
            <v>Vít đầu côn 4×35</v>
          </cell>
        </row>
        <row r="121">
          <cell r="B121" t="str">
            <v>Vít đầu côn 4×40</v>
          </cell>
        </row>
        <row r="122">
          <cell r="B122" t="str">
            <v>Vít đầu côn 4×50</v>
          </cell>
        </row>
        <row r="123">
          <cell r="B123" t="str">
            <v>Vít đầu côn 5×20</v>
          </cell>
        </row>
        <row r="124">
          <cell r="B124" t="str">
            <v>Vít đầu côn 5×25</v>
          </cell>
        </row>
        <row r="125">
          <cell r="B125" t="str">
            <v>Vít đầu côn 5×30</v>
          </cell>
        </row>
        <row r="126">
          <cell r="B126" t="str">
            <v>Vít đầu côn 5×35</v>
          </cell>
        </row>
        <row r="127">
          <cell r="B127" t="str">
            <v>Vít đầu côn 5×40</v>
          </cell>
        </row>
        <row r="128">
          <cell r="B128" t="str">
            <v>Vít đầu côn 5×50</v>
          </cell>
        </row>
        <row r="129">
          <cell r="B129" t="str">
            <v>Vít đầu côn 5×60</v>
          </cell>
        </row>
        <row r="130">
          <cell r="B130" t="str">
            <v>Vít đầu côn răng thưa 4×15</v>
          </cell>
        </row>
        <row r="131">
          <cell r="B131" t="str">
            <v>Vít đầu côn răng thưa 4×20</v>
          </cell>
        </row>
        <row r="132">
          <cell r="B132" t="str">
            <v>Vít đầu côn răng thưa  4×25</v>
          </cell>
        </row>
        <row r="133">
          <cell r="B133" t="str">
            <v>Vít đầu côn răng thưa  4×30</v>
          </cell>
        </row>
        <row r="134">
          <cell r="B134" t="str">
            <v>Vít đầu côn răng thưa  4×35</v>
          </cell>
        </row>
        <row r="135">
          <cell r="B135" t="str">
            <v>Vít đầu côn răng thưa  4×40</v>
          </cell>
        </row>
        <row r="136">
          <cell r="B136" t="str">
            <v>Vít đầu côn răng thưa  4×50</v>
          </cell>
        </row>
        <row r="137">
          <cell r="B137" t="str">
            <v>Vít đầu dù 3,5×15</v>
          </cell>
        </row>
        <row r="138">
          <cell r="B138" t="str">
            <v>Vít đầu dù 3×10</v>
          </cell>
        </row>
        <row r="139">
          <cell r="B139" t="str">
            <v>Vít đầu dù 3×15</v>
          </cell>
        </row>
        <row r="140">
          <cell r="B140" t="str">
            <v>Vít đầu dù 3×20</v>
          </cell>
        </row>
        <row r="141">
          <cell r="B141" t="str">
            <v>Vít đầu dù 4×15</v>
          </cell>
        </row>
        <row r="142">
          <cell r="B142" t="str">
            <v>Vít đầu dù 4×20</v>
          </cell>
        </row>
        <row r="143">
          <cell r="B143" t="str">
            <v>Vít đầu dù 4x25</v>
          </cell>
        </row>
        <row r="144">
          <cell r="B144" t="str">
            <v>Vít đầu dù 4x45</v>
          </cell>
        </row>
        <row r="145">
          <cell r="B145" t="str">
            <v>Vít đầu dù 4x50</v>
          </cell>
        </row>
        <row r="146">
          <cell r="B146" t="str">
            <v>Vít đầu dù 5x60</v>
          </cell>
        </row>
        <row r="147">
          <cell r="B147" t="str">
            <v>Ray trượt giảm chấn 2 tầng DTC L350</v>
          </cell>
        </row>
        <row r="148">
          <cell r="B148" t="str">
            <v>Ray trượt giảm chấn 2 tầng DTC L300</v>
          </cell>
        </row>
        <row r="149">
          <cell r="B149" t="str">
            <v>Ray trượt giảm chấn 3 tầng DTC L350</v>
          </cell>
        </row>
        <row r="150">
          <cell r="B150" t="str">
            <v>Ray trượt giảm chấn 3 tầng DTC L300</v>
          </cell>
        </row>
        <row r="151">
          <cell r="B151" t="str">
            <v>Ray trượt thép 35x1050x780</v>
          </cell>
        </row>
        <row r="152">
          <cell r="B152" t="str">
            <v>Ray trượt thép 35x1010x570</v>
          </cell>
        </row>
        <row r="153">
          <cell r="B153" t="str">
            <v>Ray trượt thép 35x600x400</v>
          </cell>
        </row>
        <row r="154">
          <cell r="B154" t="str">
            <v>Bánh xe có khóa ф 75</v>
          </cell>
        </row>
        <row r="155">
          <cell r="B155" t="str">
            <v>Bánh xe không khóa ф 75</v>
          </cell>
        </row>
        <row r="156">
          <cell r="B156" t="str">
            <v>Bản lề giảm chấn DTC</v>
          </cell>
        </row>
        <row r="157">
          <cell r="B157" t="str">
            <v>Bộ mâm xoay 250x250mm</v>
          </cell>
        </row>
        <row r="158">
          <cell r="B158" t="str">
            <v>Bộ mâm xoay 200x200mm</v>
          </cell>
        </row>
        <row r="159">
          <cell r="B159" t="str">
            <v>Bản lề giảm chấn Thanh Ngọc</v>
          </cell>
        </row>
        <row r="160">
          <cell r="B160" t="str">
            <v>Bản lề chữ thập (T)</v>
          </cell>
        </row>
        <row r="161">
          <cell r="B161" t="str">
            <v>Bản lề cù chỏ</v>
          </cell>
        </row>
        <row r="162">
          <cell r="B162" t="str">
            <v>Bản lề lá 7F</v>
          </cell>
        </row>
        <row r="163">
          <cell r="B163" t="str">
            <v>Bánh xe 30mm</v>
          </cell>
        </row>
        <row r="164">
          <cell r="B164" t="str">
            <v>Bánh xe cửa lùa (Dùng cho ray trượt UV)</v>
          </cell>
        </row>
        <row r="165">
          <cell r="B165" t="str">
            <v>Bát 20x25x100</v>
          </cell>
        </row>
        <row r="166">
          <cell r="B166" t="str">
            <v>Bát chống nứt 25x50</v>
          </cell>
        </row>
        <row r="167">
          <cell r="B167" t="str">
            <v>Bát bắt ray trượt 2x20x20x40 (Khoan lã trong)</v>
          </cell>
        </row>
        <row r="168">
          <cell r="B168" t="str">
            <v>Bát bắt trục xoay 2x20x20x40 (Khoan lã ngoài)</v>
          </cell>
        </row>
        <row r="169">
          <cell r="B169" t="str">
            <v>Bát gài mặt phụ 2x30x40</v>
          </cell>
        </row>
        <row r="170">
          <cell r="B170" t="str">
            <v>Bát L đỡ mặt phụ 3x15x75/45</v>
          </cell>
        </row>
        <row r="171">
          <cell r="B171" t="str">
            <v>Bát chống nứt 3x20x50</v>
          </cell>
        </row>
        <row r="172">
          <cell r="B172" t="str">
            <v>Bát đỡ gỗ bắt trục xoay 5x40x160</v>
          </cell>
        </row>
        <row r="173">
          <cell r="B173" t="str">
            <v>Bộ bas giường L120</v>
          </cell>
        </row>
        <row r="174">
          <cell r="B174" t="str">
            <v>Bộ bát giường L180</v>
          </cell>
        </row>
        <row r="175">
          <cell r="B175" t="str">
            <v>Bộ bát giường lớn BH</v>
          </cell>
        </row>
        <row r="176">
          <cell r="B176" t="str">
            <v>Bộ chân nhựa giường</v>
          </cell>
        </row>
        <row r="177">
          <cell r="B177" t="str">
            <v>Bát đỡ mặt phụ L5x40x86x270</v>
          </cell>
        </row>
        <row r="178">
          <cell r="B178" t="str">
            <v>Bát đỡ mặt phụ L5x50x90x270</v>
          </cell>
        </row>
        <row r="179">
          <cell r="B179" t="str">
            <v>Khóa mỏ vịt</v>
          </cell>
        </row>
        <row r="180">
          <cell r="B180" t="str">
            <v>Bộ khóa Barlock</v>
          </cell>
        </row>
        <row r="181">
          <cell r="B181" t="str">
            <v>Bát xoay 2x23x30x59</v>
          </cell>
        </row>
        <row r="182">
          <cell r="B182" t="str">
            <v>Bộ trục xoay có tay cầm L760</v>
          </cell>
        </row>
        <row r="183">
          <cell r="B183" t="str">
            <v>Bộ trục xoay không tay cầm L610-690mm</v>
          </cell>
        </row>
        <row r="184">
          <cell r="B184" t="str">
            <v>Bộ trục xoay không tay cầm L700-750mm</v>
          </cell>
        </row>
        <row r="185">
          <cell r="B185" t="str">
            <v>Chân bàn thường 40x100x734x990</v>
          </cell>
        </row>
        <row r="186">
          <cell r="B186" t="str">
            <v>Chân bàn trượt 40x100x731x990</v>
          </cell>
        </row>
        <row r="187">
          <cell r="B187" t="str">
            <v>Chốt định vị 6x65</v>
          </cell>
        </row>
        <row r="188">
          <cell r="B188" t="str">
            <v>Chốt trượt trên (Dùng co ray trượt UV)</v>
          </cell>
        </row>
        <row r="189">
          <cell r="B189" t="str">
            <v>Chốt đỡ kệ</v>
          </cell>
        </row>
        <row r="190">
          <cell r="B190" t="str">
            <v>Chốt lò xo (Dùng cho ray trượt UV)</v>
          </cell>
        </row>
        <row r="191">
          <cell r="B191" t="str">
            <v>Chốt chặn học kéo 8x30mm</v>
          </cell>
        </row>
        <row r="192">
          <cell r="B192" t="str">
            <v>Chốt Oval + chốt dương 6</v>
          </cell>
        </row>
        <row r="193">
          <cell r="B193" t="str">
            <v>Cụm Khung kệ X 25x25x344x780x1344</v>
          </cell>
        </row>
        <row r="194">
          <cell r="B194" t="str">
            <v>Cụm khung V 25x25x294x394x500</v>
          </cell>
        </row>
        <row r="195">
          <cell r="B195" t="str">
            <v>Đế nhựa tăng đơ 8x30</v>
          </cell>
        </row>
        <row r="196">
          <cell r="B196" t="str">
            <v>Đế nhựa tăng đơ 8x13x20</v>
          </cell>
        </row>
        <row r="197">
          <cell r="B197" t="str">
            <v>Đế nhựa trong 1x40x40</v>
          </cell>
        </row>
        <row r="198">
          <cell r="B198" t="str">
            <v>Đế nhựa trong 2x40x40</v>
          </cell>
        </row>
        <row r="199">
          <cell r="B199" t="str">
            <v xml:space="preserve">KLG 5 </v>
          </cell>
        </row>
        <row r="200">
          <cell r="B200" t="str">
            <v>Nhựa Oval 2 lỗ</v>
          </cell>
        </row>
        <row r="201">
          <cell r="B201" t="str">
            <v>Ray trượt bi L1000 (8034)</v>
          </cell>
        </row>
        <row r="202">
          <cell r="B202" t="str">
            <v>Ray trượt cáp L1000 cánh 280</v>
          </cell>
        </row>
        <row r="203">
          <cell r="B203" t="str">
            <v>Ray trượt cáp L1000 cánh 350</v>
          </cell>
        </row>
        <row r="204">
          <cell r="B204" t="str">
            <v>Ray trượt bi 3 tầng L300</v>
          </cell>
        </row>
        <row r="205">
          <cell r="B205" t="str">
            <v>Ray trượt bi 3 tầng L350</v>
          </cell>
        </row>
        <row r="206">
          <cell r="B206" t="str">
            <v>Tay nắm bắt mặt phụ (Alacarte)</v>
          </cell>
        </row>
        <row r="207">
          <cell r="B207" t="str">
            <v>Tay nắm cong Ric-01</v>
          </cell>
        </row>
        <row r="208">
          <cell r="B208" t="str">
            <v>Tay nắm Kozani</v>
          </cell>
        </row>
        <row r="209">
          <cell r="B209" t="str">
            <v>Tay nắm Railway</v>
          </cell>
        </row>
        <row r="210">
          <cell r="B210" t="str">
            <v>Tay nắm Malton</v>
          </cell>
        </row>
        <row r="211">
          <cell r="B211" t="str">
            <v>Tay nắm cong Cuver (Inter)</v>
          </cell>
        </row>
        <row r="212">
          <cell r="B212" t="str">
            <v>Tay nắm thẳng 150 (JP)</v>
          </cell>
        </row>
        <row r="213">
          <cell r="B213" t="str">
            <v>Tay nắm thẳng 200 (JP)</v>
          </cell>
        </row>
        <row r="214">
          <cell r="B214" t="str">
            <v>Bản lề Inox 5F (JP)</v>
          </cell>
        </row>
        <row r="215">
          <cell r="B215" t="str">
            <v>Thanh chống mo T40x260</v>
          </cell>
        </row>
        <row r="216">
          <cell r="B216" t="str">
            <v>Thanh chống mo T40x870</v>
          </cell>
        </row>
        <row r="217">
          <cell r="B217" t="str">
            <v>Thanh chống mo T40x900</v>
          </cell>
        </row>
        <row r="218">
          <cell r="B218" t="str">
            <v>Thanh chống mo V15x15x430</v>
          </cell>
        </row>
        <row r="219">
          <cell r="B219" t="str">
            <v>Thanh chốngmo V15x15x820</v>
          </cell>
        </row>
        <row r="220">
          <cell r="B220" t="str">
            <v>Thanh chống mo V3x15x15x650</v>
          </cell>
        </row>
        <row r="221">
          <cell r="B221" t="str">
            <v>Thanh chống mo V3x15x17x400</v>
          </cell>
        </row>
        <row r="222">
          <cell r="B222" t="str">
            <v>Thanh chống mo V3x15x17x820</v>
          </cell>
        </row>
        <row r="223">
          <cell r="B223" t="str">
            <v>Khung sắt 50x876x1200mm</v>
          </cell>
        </row>
        <row r="224">
          <cell r="B224" t="str">
            <v>Ray trượt U,V L1045</v>
          </cell>
        </row>
        <row r="225">
          <cell r="B225" t="str">
            <v>Ray trượt U,V L1070</v>
          </cell>
        </row>
        <row r="226">
          <cell r="B226" t="str">
            <v>Ray trượt U,V L1072</v>
          </cell>
        </row>
        <row r="227">
          <cell r="B227" t="str">
            <v>Ray trượt U,V L1100</v>
          </cell>
        </row>
        <row r="228">
          <cell r="B228" t="str">
            <v>Ray trượt U,V L1110</v>
          </cell>
        </row>
        <row r="229">
          <cell r="B229" t="str">
            <v>Ray trượt U,V L1195</v>
          </cell>
        </row>
        <row r="230">
          <cell r="B230" t="str">
            <v>Ray trượt U,V L1346</v>
          </cell>
        </row>
        <row r="231">
          <cell r="B231" t="str">
            <v>Ray trượt U,V L1350</v>
          </cell>
        </row>
        <row r="232">
          <cell r="B232" t="str">
            <v>Ray trượt U,V L780</v>
          </cell>
        </row>
        <row r="233">
          <cell r="B233" t="str">
            <v>Ray trượt Ý L1380</v>
          </cell>
        </row>
      </sheetData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LM-33"/>
      <sheetName val="CLM-32"/>
      <sheetName val="CLM-30"/>
      <sheetName val="CLM-29"/>
      <sheetName val="CLM-13"/>
      <sheetName val="CLM-12"/>
      <sheetName val="CLM-11"/>
      <sheetName val="CLM-10"/>
      <sheetName val="CLM-09"/>
      <sheetName val="CLM-08"/>
      <sheetName val="CLM-07"/>
      <sheetName val="CLM-06"/>
      <sheetName val="CLM-04"/>
      <sheetName val="CLM-03"/>
      <sheetName val="CT VẬT TƯ"/>
      <sheetName val="Z"/>
      <sheetName val="Load"/>
      <sheetName val="Pakage"/>
      <sheetName val="NL - MDF - Veneer"/>
      <sheetName val="Fitting"/>
      <sheetName val="Phu kien dong goi"/>
      <sheetName val="Gia thanh"/>
      <sheetName val="Chi tiet sp"/>
      <sheetName val="Lenh cap nguyen lieu"/>
      <sheetName val="Lenh SX"/>
      <sheetName val="TH quy cá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/>
      <sheetData sheetId="18">
        <row r="6">
          <cell r="A6" t="str">
            <v>MDF 2,5mm</v>
          </cell>
        </row>
        <row r="7">
          <cell r="A7" t="str">
            <v>MDF 3mm</v>
          </cell>
        </row>
        <row r="8">
          <cell r="A8" t="str">
            <v>MDF 4mm</v>
          </cell>
        </row>
        <row r="9">
          <cell r="A9" t="str">
            <v>MDF 4,5mm</v>
          </cell>
        </row>
        <row r="10">
          <cell r="A10" t="str">
            <v>MDF 5mm</v>
          </cell>
        </row>
        <row r="11">
          <cell r="A11" t="str">
            <v>MDF 6mm</v>
          </cell>
        </row>
        <row r="12">
          <cell r="A12" t="str">
            <v>MDF 9mm</v>
          </cell>
        </row>
        <row r="13">
          <cell r="A13" t="str">
            <v>MDF 12mm</v>
          </cell>
        </row>
        <row r="14">
          <cell r="A14" t="str">
            <v>MDF 15mm</v>
          </cell>
        </row>
        <row r="15">
          <cell r="A15" t="str">
            <v>MDF 17mm</v>
          </cell>
        </row>
        <row r="16">
          <cell r="A16" t="str">
            <v>MDF 18mm</v>
          </cell>
        </row>
        <row r="17">
          <cell r="A17" t="str">
            <v>MDF 21mm</v>
          </cell>
        </row>
        <row r="18">
          <cell r="A18" t="str">
            <v>MDF 25mm</v>
          </cell>
        </row>
        <row r="20">
          <cell r="A20" t="str">
            <v>Veneer Oak 0.6mm</v>
          </cell>
        </row>
        <row r="21">
          <cell r="A21" t="str">
            <v xml:space="preserve">Veneer Oak 0.3mm </v>
          </cell>
        </row>
        <row r="22">
          <cell r="A22" t="str">
            <v>Veneer Tràm 0.3mm</v>
          </cell>
        </row>
        <row r="23">
          <cell r="A23" t="str">
            <v>Veneer Tràm 0.6mm có bề bản</v>
          </cell>
        </row>
        <row r="24">
          <cell r="A24" t="str">
            <v xml:space="preserve">Veneer Tràm 0.6mm </v>
          </cell>
        </row>
        <row r="25">
          <cell r="A25" t="str">
            <v>Veneer Tràm 0.3mm</v>
          </cell>
        </row>
        <row r="26">
          <cell r="A26" t="str">
            <v>Veneer Thông 0.6mm</v>
          </cell>
        </row>
        <row r="27">
          <cell r="A27" t="str">
            <v>Veneer Thông 0.3mm</v>
          </cell>
        </row>
        <row r="28">
          <cell r="A28" t="str">
            <v>Veneer Tạp</v>
          </cell>
        </row>
        <row r="29">
          <cell r="A29" t="str">
            <v>Gỗ Tràm</v>
          </cell>
        </row>
        <row r="30">
          <cell r="A30" t="str">
            <v>Gỗ Sồi</v>
          </cell>
        </row>
        <row r="31">
          <cell r="A31" t="str">
            <v>Gỗ Thông</v>
          </cell>
        </row>
        <row r="32">
          <cell r="A32" t="str">
            <v>Gỗ Cao Su</v>
          </cell>
        </row>
      </sheetData>
      <sheetData sheetId="19">
        <row r="7">
          <cell r="B7" t="str">
            <v>Nút nhựa Silicon (Nhựa giảm chấn)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iTiet"/>
      <sheetName val="ChiPhiSX"/>
      <sheetName val="ChiPhiSon"/>
      <sheetName val="GiaThanh"/>
      <sheetName val="Material"/>
      <sheetName val="Material (ref only)"/>
    </sheetNames>
    <sheetDataSet>
      <sheetData sheetId="0"/>
      <sheetData sheetId="1">
        <row r="1">
          <cell r="F1">
            <v>20.7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E2E0E-9047-4BC0-B017-4A049E858C2D}">
  <sheetPr>
    <pageSetUpPr fitToPage="1"/>
  </sheetPr>
  <dimension ref="A1:R174"/>
  <sheetViews>
    <sheetView tabSelected="1" topLeftCell="A66" zoomScale="85" zoomScaleNormal="85" workbookViewId="0">
      <selection activeCell="D21" sqref="D21:E21"/>
    </sheetView>
  </sheetViews>
  <sheetFormatPr defaultColWidth="9.109375" defaultRowHeight="18" customHeight="1" x14ac:dyDescent="0.3"/>
  <cols>
    <col min="1" max="1" width="4.6640625" style="3" customWidth="1"/>
    <col min="2" max="2" width="28.6640625" style="4" customWidth="1"/>
    <col min="3" max="3" width="10.6640625" style="3" customWidth="1"/>
    <col min="4" max="7" width="6.6640625" style="3" customWidth="1"/>
    <col min="8" max="9" width="8.6640625" style="6" customWidth="1"/>
    <col min="10" max="13" width="6.6640625" style="3" customWidth="1"/>
    <col min="14" max="14" width="8.6640625" style="3" customWidth="1"/>
    <col min="15" max="16" width="45.6640625" style="3" customWidth="1"/>
    <col min="17" max="17" width="6.88671875" style="3" customWidth="1"/>
    <col min="18" max="16384" width="9.109375" style="4"/>
  </cols>
  <sheetData>
    <row r="1" spans="1:17" ht="18" customHeight="1" x14ac:dyDescent="0.3">
      <c r="A1" s="2">
        <v>4</v>
      </c>
      <c r="B1" s="2">
        <v>20</v>
      </c>
      <c r="C1" s="2">
        <v>10</v>
      </c>
      <c r="D1" s="2">
        <v>5</v>
      </c>
      <c r="E1" s="2">
        <v>5</v>
      </c>
      <c r="F1" s="2">
        <v>5</v>
      </c>
      <c r="G1" s="2">
        <v>5</v>
      </c>
      <c r="H1" s="2">
        <v>8</v>
      </c>
      <c r="I1" s="2">
        <v>8</v>
      </c>
      <c r="J1" s="2">
        <v>5</v>
      </c>
      <c r="K1" s="2">
        <v>5</v>
      </c>
      <c r="L1" s="2">
        <v>5</v>
      </c>
      <c r="M1" s="2">
        <v>5</v>
      </c>
      <c r="N1" s="2">
        <v>8</v>
      </c>
      <c r="O1" s="2">
        <v>47</v>
      </c>
      <c r="P1" s="2">
        <v>47</v>
      </c>
    </row>
    <row r="2" spans="1:17" ht="20.25" customHeight="1" x14ac:dyDescent="0.3">
      <c r="A2" s="177"/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</row>
    <row r="3" spans="1:17" ht="18" customHeight="1" x14ac:dyDescent="0.3">
      <c r="A3" s="178"/>
      <c r="B3" s="179"/>
      <c r="C3" s="180"/>
      <c r="D3" s="109" t="s">
        <v>0</v>
      </c>
      <c r="E3" s="110"/>
      <c r="F3" s="110"/>
      <c r="G3" s="110"/>
      <c r="H3" s="110"/>
      <c r="I3" s="110"/>
      <c r="J3" s="110"/>
      <c r="K3" s="110"/>
      <c r="L3" s="110"/>
      <c r="M3" s="111"/>
      <c r="N3" s="190"/>
      <c r="O3" s="191"/>
      <c r="P3" s="192"/>
      <c r="Q3" s="5"/>
    </row>
    <row r="4" spans="1:17" ht="18" customHeight="1" x14ac:dyDescent="0.3">
      <c r="A4" s="181"/>
      <c r="B4" s="182"/>
      <c r="C4" s="183"/>
      <c r="D4" s="187"/>
      <c r="E4" s="188"/>
      <c r="F4" s="188"/>
      <c r="G4" s="188"/>
      <c r="H4" s="188"/>
      <c r="I4" s="188"/>
      <c r="J4" s="188"/>
      <c r="K4" s="188"/>
      <c r="L4" s="188"/>
      <c r="M4" s="189"/>
      <c r="N4" s="190" t="s">
        <v>1</v>
      </c>
      <c r="O4" s="191"/>
      <c r="P4" s="192"/>
      <c r="Q4" s="5"/>
    </row>
    <row r="5" spans="1:17" ht="18" customHeight="1" x14ac:dyDescent="0.3">
      <c r="A5" s="184"/>
      <c r="B5" s="185"/>
      <c r="C5" s="186"/>
      <c r="D5" s="112"/>
      <c r="E5" s="113"/>
      <c r="F5" s="113"/>
      <c r="G5" s="113"/>
      <c r="H5" s="113"/>
      <c r="I5" s="113"/>
      <c r="J5" s="113"/>
      <c r="K5" s="113"/>
      <c r="L5" s="113"/>
      <c r="M5" s="114"/>
      <c r="N5" s="190" t="s">
        <v>57</v>
      </c>
      <c r="O5" s="191"/>
      <c r="P5" s="192"/>
      <c r="Q5" s="5"/>
    </row>
    <row r="6" spans="1:17" ht="18" customHeight="1" x14ac:dyDescent="0.3">
      <c r="A6" s="4"/>
    </row>
    <row r="7" spans="1:17" ht="15.9" customHeight="1" x14ac:dyDescent="0.3">
      <c r="A7" s="4"/>
      <c r="B7" s="4" t="s">
        <v>2</v>
      </c>
      <c r="C7" s="8" t="s">
        <v>180</v>
      </c>
      <c r="D7" s="18"/>
      <c r="E7" s="18"/>
      <c r="F7" s="7"/>
      <c r="G7" s="7"/>
      <c r="H7" s="7"/>
      <c r="I7" s="90" t="s">
        <v>168</v>
      </c>
      <c r="J7" s="91"/>
      <c r="K7" s="91" t="s">
        <v>169</v>
      </c>
      <c r="L7" s="92"/>
      <c r="M7" s="91"/>
      <c r="N7" s="93" t="s">
        <v>170</v>
      </c>
      <c r="O7" s="89"/>
      <c r="P7" s="4"/>
      <c r="Q7" s="4"/>
    </row>
    <row r="8" spans="1:17" ht="15.9" customHeight="1" x14ac:dyDescent="0.3">
      <c r="A8" s="4"/>
      <c r="B8" s="4" t="s">
        <v>3</v>
      </c>
      <c r="C8" s="8"/>
      <c r="D8" s="8"/>
      <c r="F8" s="7"/>
      <c r="G8" s="7"/>
      <c r="H8" s="7"/>
      <c r="I8" s="94" t="s">
        <v>171</v>
      </c>
      <c r="J8" s="95"/>
      <c r="K8" s="95"/>
      <c r="L8" s="95"/>
      <c r="M8" s="95"/>
      <c r="N8" s="96" t="s">
        <v>172</v>
      </c>
      <c r="O8" s="97"/>
      <c r="P8" s="4"/>
      <c r="Q8" s="4"/>
    </row>
    <row r="9" spans="1:17" ht="15.9" customHeight="1" x14ac:dyDescent="0.3">
      <c r="A9" s="4"/>
      <c r="B9" s="4" t="s">
        <v>4</v>
      </c>
      <c r="C9" s="9" t="s">
        <v>5</v>
      </c>
      <c r="D9" s="10" t="s">
        <v>6</v>
      </c>
      <c r="E9" s="10" t="s">
        <v>7</v>
      </c>
      <c r="F9" s="11"/>
      <c r="H9" s="12"/>
      <c r="I9" s="94" t="s">
        <v>177</v>
      </c>
      <c r="J9" s="95"/>
      <c r="K9" s="95"/>
      <c r="L9" s="95"/>
      <c r="M9" s="95"/>
      <c r="N9" s="98" t="s">
        <v>173</v>
      </c>
      <c r="O9" s="97"/>
      <c r="Q9" s="4"/>
    </row>
    <row r="10" spans="1:17" ht="15.9" customHeight="1" x14ac:dyDescent="0.3">
      <c r="A10" s="4"/>
      <c r="B10" s="4" t="s">
        <v>8</v>
      </c>
      <c r="C10" s="13">
        <v>400</v>
      </c>
      <c r="D10" s="13">
        <v>350</v>
      </c>
      <c r="E10" s="13">
        <v>550</v>
      </c>
      <c r="F10" s="14" t="s">
        <v>9</v>
      </c>
      <c r="G10" s="7"/>
      <c r="H10" s="7"/>
      <c r="I10" s="94" t="s">
        <v>174</v>
      </c>
      <c r="J10" s="95"/>
      <c r="K10" s="95"/>
      <c r="L10" s="95"/>
      <c r="M10" s="95"/>
      <c r="N10" s="97"/>
      <c r="O10" s="97"/>
      <c r="P10" s="4"/>
      <c r="Q10" s="4"/>
    </row>
    <row r="11" spans="1:17" ht="15.9" customHeight="1" x14ac:dyDescent="0.3">
      <c r="A11" s="4"/>
      <c r="C11" s="13"/>
      <c r="D11" s="13"/>
      <c r="E11" s="13"/>
      <c r="F11" s="12"/>
      <c r="G11" s="12"/>
      <c r="I11" s="94" t="s">
        <v>175</v>
      </c>
      <c r="J11" s="95"/>
      <c r="K11" s="95"/>
      <c r="L11" s="95"/>
      <c r="M11" s="95"/>
      <c r="N11" s="93" t="s">
        <v>176</v>
      </c>
      <c r="O11" s="97"/>
      <c r="P11" s="4"/>
      <c r="Q11" s="4"/>
    </row>
    <row r="12" spans="1:17" s="14" customFormat="1" ht="18" customHeight="1" x14ac:dyDescent="0.3">
      <c r="B12" s="15" t="s">
        <v>10</v>
      </c>
      <c r="C12" s="16"/>
      <c r="D12" s="16"/>
      <c r="E12" s="16"/>
      <c r="F12" s="16"/>
      <c r="G12" s="16"/>
      <c r="H12" s="17"/>
      <c r="I12" s="17"/>
      <c r="J12" s="16"/>
      <c r="K12" s="16"/>
      <c r="L12" s="16"/>
      <c r="M12" s="16"/>
      <c r="N12" s="16"/>
      <c r="O12" s="16"/>
      <c r="P12" s="16"/>
      <c r="Q12" s="16"/>
    </row>
    <row r="13" spans="1:17" s="19" customFormat="1" ht="18" customHeight="1" x14ac:dyDescent="0.25">
      <c r="A13" s="108" t="s">
        <v>11</v>
      </c>
      <c r="B13" s="108" t="s">
        <v>12</v>
      </c>
      <c r="C13" s="195" t="s">
        <v>13</v>
      </c>
      <c r="D13" s="108" t="s">
        <v>14</v>
      </c>
      <c r="E13" s="108"/>
      <c r="F13" s="108"/>
      <c r="G13" s="195" t="s">
        <v>15</v>
      </c>
      <c r="H13" s="196" t="s">
        <v>16</v>
      </c>
      <c r="I13" s="193" t="s">
        <v>17</v>
      </c>
      <c r="J13" s="108" t="s">
        <v>18</v>
      </c>
      <c r="K13" s="108"/>
      <c r="L13" s="108"/>
      <c r="M13" s="195" t="s">
        <v>19</v>
      </c>
      <c r="N13" s="195" t="s">
        <v>20</v>
      </c>
      <c r="O13" s="195" t="s">
        <v>21</v>
      </c>
      <c r="P13" s="195" t="s">
        <v>118</v>
      </c>
      <c r="Q13" s="18"/>
    </row>
    <row r="14" spans="1:17" s="19" customFormat="1" ht="18" customHeight="1" x14ac:dyDescent="0.25">
      <c r="A14" s="108"/>
      <c r="B14" s="108"/>
      <c r="C14" s="108"/>
      <c r="D14" s="20" t="s">
        <v>22</v>
      </c>
      <c r="E14" s="20" t="s">
        <v>23</v>
      </c>
      <c r="F14" s="20" t="s">
        <v>24</v>
      </c>
      <c r="G14" s="108"/>
      <c r="H14" s="197"/>
      <c r="I14" s="194"/>
      <c r="J14" s="20" t="s">
        <v>22</v>
      </c>
      <c r="K14" s="20" t="s">
        <v>23</v>
      </c>
      <c r="L14" s="20" t="s">
        <v>24</v>
      </c>
      <c r="M14" s="108"/>
      <c r="N14" s="108"/>
      <c r="O14" s="108"/>
      <c r="P14" s="108"/>
      <c r="Q14" s="21"/>
    </row>
    <row r="15" spans="1:17" ht="18" customHeight="1" x14ac:dyDescent="0.3">
      <c r="A15" s="20" t="s">
        <v>62</v>
      </c>
      <c r="B15" s="22" t="s">
        <v>63</v>
      </c>
      <c r="C15" s="23"/>
      <c r="D15" s="1"/>
      <c r="E15" s="1"/>
      <c r="F15" s="1"/>
      <c r="G15" s="1"/>
      <c r="H15" s="24">
        <f t="shared" ref="H15:H45" si="0">D15*E15*F15*G15*10^-9</f>
        <v>0</v>
      </c>
      <c r="I15" s="25">
        <f t="shared" ref="I15:I45" si="1">(D15*E15*2+D15*F15*2+E15*F15*2)*10^-6*G15</f>
        <v>0</v>
      </c>
      <c r="J15" s="26"/>
      <c r="K15" s="26"/>
      <c r="L15" s="27"/>
      <c r="M15" s="1"/>
      <c r="N15" s="28">
        <f t="shared" ref="N15:N45" si="2">J15*K15*L15*M15*10^-9</f>
        <v>0</v>
      </c>
      <c r="O15" s="26"/>
      <c r="P15" s="26"/>
      <c r="Q15" s="29"/>
    </row>
    <row r="16" spans="1:17" ht="38.4" customHeight="1" x14ac:dyDescent="0.3">
      <c r="A16" s="23">
        <f>IF(D16="","",SUBTOTAL(3,$D$15:D16))</f>
        <v>1</v>
      </c>
      <c r="B16" s="30" t="s">
        <v>82</v>
      </c>
      <c r="C16" s="23" t="s">
        <v>26</v>
      </c>
      <c r="D16" s="1">
        <v>12</v>
      </c>
      <c r="E16" s="100">
        <v>294</v>
      </c>
      <c r="F16" s="1">
        <v>344</v>
      </c>
      <c r="G16" s="1">
        <v>1</v>
      </c>
      <c r="H16" s="24">
        <f t="shared" si="0"/>
        <v>1.2136320000000001E-3</v>
      </c>
      <c r="I16" s="25">
        <f t="shared" si="1"/>
        <v>0.217584</v>
      </c>
      <c r="J16" s="26"/>
      <c r="K16" s="26"/>
      <c r="L16" s="27"/>
      <c r="M16" s="1"/>
      <c r="N16" s="28">
        <f t="shared" si="2"/>
        <v>0</v>
      </c>
      <c r="O16" s="31" t="s">
        <v>119</v>
      </c>
      <c r="P16" s="32"/>
      <c r="Q16" s="29"/>
    </row>
    <row r="17" spans="1:17" ht="38.4" customHeight="1" x14ac:dyDescent="0.3">
      <c r="A17" s="20" t="s">
        <v>64</v>
      </c>
      <c r="B17" s="22" t="s">
        <v>87</v>
      </c>
      <c r="C17" s="23"/>
      <c r="D17" s="1"/>
      <c r="E17" s="1"/>
      <c r="F17" s="1"/>
      <c r="G17" s="1"/>
      <c r="H17" s="24"/>
      <c r="I17" s="25"/>
      <c r="J17" s="26"/>
      <c r="K17" s="26"/>
      <c r="L17" s="27"/>
      <c r="M17" s="1"/>
      <c r="N17" s="28"/>
      <c r="O17" s="23"/>
      <c r="P17" s="23"/>
      <c r="Q17" s="29"/>
    </row>
    <row r="18" spans="1:17" ht="38.4" customHeight="1" x14ac:dyDescent="0.3">
      <c r="A18" s="23">
        <f>IF(D18="","",SUBTOTAL(3,$D$15:D18))</f>
        <v>2</v>
      </c>
      <c r="B18" s="30" t="s">
        <v>120</v>
      </c>
      <c r="C18" s="23" t="s">
        <v>61</v>
      </c>
      <c r="D18" s="1">
        <v>38</v>
      </c>
      <c r="E18" s="1">
        <v>38</v>
      </c>
      <c r="F18" s="1">
        <v>550</v>
      </c>
      <c r="G18" s="1">
        <v>4</v>
      </c>
      <c r="H18" s="24">
        <f t="shared" ref="H18:H26" si="3">D18*E18*F18*G18*10^-9</f>
        <v>3.1768E-3</v>
      </c>
      <c r="I18" s="25">
        <f t="shared" ref="I18:I26" si="4">(D18*E18*2+D18*F18*2+E18*F18*2)*10^-6*G18</f>
        <v>0.34595199999999998</v>
      </c>
      <c r="J18" s="26"/>
      <c r="K18" s="26"/>
      <c r="L18" s="27"/>
      <c r="M18" s="1"/>
      <c r="N18" s="28">
        <f t="shared" ref="N18:N26" si="5">J18*K18*L18*M18*10^-9</f>
        <v>0</v>
      </c>
      <c r="O18" s="33" t="s">
        <v>121</v>
      </c>
      <c r="P18" s="34"/>
      <c r="Q18" s="29"/>
    </row>
    <row r="19" spans="1:17" ht="38.4" customHeight="1" x14ac:dyDescent="0.3">
      <c r="A19" s="23">
        <f>IF(D19="","",SUBTOTAL(3,$D$15:D19))</f>
        <v>3</v>
      </c>
      <c r="B19" s="30" t="s">
        <v>88</v>
      </c>
      <c r="C19" s="23" t="s">
        <v>61</v>
      </c>
      <c r="D19" s="1">
        <v>38</v>
      </c>
      <c r="E19" s="1">
        <v>45</v>
      </c>
      <c r="F19" s="1">
        <v>314</v>
      </c>
      <c r="G19" s="1">
        <v>2</v>
      </c>
      <c r="H19" s="24">
        <f t="shared" si="3"/>
        <v>1.0738800000000001E-3</v>
      </c>
      <c r="I19" s="25">
        <f t="shared" si="4"/>
        <v>0.11108799999999999</v>
      </c>
      <c r="J19" s="26"/>
      <c r="K19" s="26"/>
      <c r="L19" s="27"/>
      <c r="M19" s="1"/>
      <c r="N19" s="28">
        <f t="shared" si="5"/>
        <v>0</v>
      </c>
      <c r="O19" s="33" t="s">
        <v>122</v>
      </c>
      <c r="P19" s="23"/>
      <c r="Q19" s="29"/>
    </row>
    <row r="20" spans="1:17" ht="38.4" customHeight="1" x14ac:dyDescent="0.3">
      <c r="A20" s="23">
        <f>IF(D20="","",SUBTOTAL(3,$D$15:D20))</f>
        <v>4</v>
      </c>
      <c r="B20" s="30" t="s">
        <v>90</v>
      </c>
      <c r="C20" s="23" t="s">
        <v>61</v>
      </c>
      <c r="D20" s="1">
        <v>22</v>
      </c>
      <c r="E20" s="1">
        <v>45</v>
      </c>
      <c r="F20" s="1">
        <v>314</v>
      </c>
      <c r="G20" s="1">
        <v>2</v>
      </c>
      <c r="H20" s="24">
        <f t="shared" si="3"/>
        <v>6.2172000000000009E-4</v>
      </c>
      <c r="I20" s="25">
        <f t="shared" si="4"/>
        <v>8.8111999999999996E-2</v>
      </c>
      <c r="J20" s="26"/>
      <c r="K20" s="26"/>
      <c r="L20" s="27"/>
      <c r="M20" s="1"/>
      <c r="N20" s="28">
        <f t="shared" si="5"/>
        <v>0</v>
      </c>
      <c r="O20" s="33" t="s">
        <v>123</v>
      </c>
      <c r="P20" s="23"/>
      <c r="Q20" s="29"/>
    </row>
    <row r="21" spans="1:17" ht="38.4" customHeight="1" x14ac:dyDescent="0.3">
      <c r="A21" s="23">
        <f>IF(D21="","",SUBTOTAL(3,$D$15:D21))</f>
        <v>5</v>
      </c>
      <c r="B21" s="30" t="s">
        <v>90</v>
      </c>
      <c r="C21" s="23" t="s">
        <v>61</v>
      </c>
      <c r="D21" s="100">
        <v>20</v>
      </c>
      <c r="E21" s="100">
        <v>38</v>
      </c>
      <c r="F21" s="1">
        <v>314</v>
      </c>
      <c r="G21" s="1">
        <v>2</v>
      </c>
      <c r="H21" s="24">
        <f t="shared" si="3"/>
        <v>4.7728000000000001E-4</v>
      </c>
      <c r="I21" s="25">
        <f t="shared" si="4"/>
        <v>7.5887999999999997E-2</v>
      </c>
      <c r="J21" s="26"/>
      <c r="K21" s="26"/>
      <c r="L21" s="27"/>
      <c r="M21" s="1"/>
      <c r="N21" s="28">
        <f t="shared" si="5"/>
        <v>0</v>
      </c>
      <c r="O21" s="33" t="s">
        <v>123</v>
      </c>
      <c r="P21" s="34"/>
      <c r="Q21" s="29"/>
    </row>
    <row r="22" spans="1:17" ht="38.4" customHeight="1" x14ac:dyDescent="0.3">
      <c r="A22" s="23">
        <f>IF(D22="","",SUBTOTAL(3,$D$15:D22))</f>
        <v>6</v>
      </c>
      <c r="B22" s="30" t="s">
        <v>145</v>
      </c>
      <c r="C22" s="23" t="s">
        <v>86</v>
      </c>
      <c r="D22" s="1">
        <v>18</v>
      </c>
      <c r="E22" s="1">
        <v>45</v>
      </c>
      <c r="F22" s="1">
        <v>314</v>
      </c>
      <c r="G22" s="1">
        <v>2</v>
      </c>
      <c r="H22" s="24">
        <f t="shared" si="3"/>
        <v>5.0868000000000007E-4</v>
      </c>
      <c r="I22" s="25">
        <f t="shared" si="4"/>
        <v>8.2367999999999997E-2</v>
      </c>
      <c r="J22" s="26"/>
      <c r="K22" s="26"/>
      <c r="L22" s="27"/>
      <c r="M22" s="1"/>
      <c r="N22" s="28">
        <f t="shared" si="5"/>
        <v>0</v>
      </c>
      <c r="O22" s="33" t="s">
        <v>123</v>
      </c>
      <c r="P22" s="23"/>
      <c r="Q22" s="29"/>
    </row>
    <row r="23" spans="1:17" ht="38.4" customHeight="1" x14ac:dyDescent="0.3">
      <c r="A23" s="23">
        <f>IF(D23="","",SUBTOTAL(3,$D$15:D23))</f>
        <v>7</v>
      </c>
      <c r="B23" s="30" t="s">
        <v>83</v>
      </c>
      <c r="C23" s="23" t="s">
        <v>61</v>
      </c>
      <c r="D23" s="1">
        <v>7</v>
      </c>
      <c r="E23" s="100">
        <v>11</v>
      </c>
      <c r="F23" s="1">
        <v>139</v>
      </c>
      <c r="G23" s="1">
        <v>4</v>
      </c>
      <c r="H23" s="24">
        <f t="shared" si="3"/>
        <v>4.2812000000000003E-5</v>
      </c>
      <c r="I23" s="25">
        <f t="shared" si="4"/>
        <v>2.0631999999999998E-2</v>
      </c>
      <c r="J23" s="26"/>
      <c r="K23" s="26"/>
      <c r="L23" s="27"/>
      <c r="M23" s="1"/>
      <c r="N23" s="28">
        <f t="shared" si="5"/>
        <v>0</v>
      </c>
      <c r="O23" s="33" t="s">
        <v>89</v>
      </c>
      <c r="P23" s="23"/>
      <c r="Q23" s="29"/>
    </row>
    <row r="24" spans="1:17" ht="38.4" customHeight="1" x14ac:dyDescent="0.3">
      <c r="A24" s="23">
        <f>IF(D24="","",SUBTOTAL(3,$D$15:D24))</f>
        <v>8</v>
      </c>
      <c r="B24" s="30" t="s">
        <v>83</v>
      </c>
      <c r="C24" s="23" t="s">
        <v>61</v>
      </c>
      <c r="D24" s="1">
        <v>7</v>
      </c>
      <c r="E24" s="100">
        <v>11</v>
      </c>
      <c r="F24" s="1">
        <v>274</v>
      </c>
      <c r="G24" s="1">
        <v>4</v>
      </c>
      <c r="H24" s="24">
        <f t="shared" si="3"/>
        <v>8.4392000000000001E-5</v>
      </c>
      <c r="I24" s="25">
        <f t="shared" si="4"/>
        <v>4.0071999999999997E-2</v>
      </c>
      <c r="J24" s="26"/>
      <c r="K24" s="26"/>
      <c r="L24" s="27"/>
      <c r="M24" s="1"/>
      <c r="N24" s="28">
        <f t="shared" si="5"/>
        <v>0</v>
      </c>
      <c r="O24" s="33" t="s">
        <v>89</v>
      </c>
      <c r="P24" s="23"/>
      <c r="Q24" s="29"/>
    </row>
    <row r="25" spans="1:17" ht="38.4" customHeight="1" x14ac:dyDescent="0.3">
      <c r="A25" s="23">
        <f>IF(D25="","",SUBTOTAL(3,$D$15:D25))</f>
        <v>9</v>
      </c>
      <c r="B25" s="30" t="s">
        <v>85</v>
      </c>
      <c r="C25" s="23" t="s">
        <v>86</v>
      </c>
      <c r="D25" s="1">
        <v>18</v>
      </c>
      <c r="E25" s="1">
        <v>60</v>
      </c>
      <c r="F25" s="1">
        <v>60</v>
      </c>
      <c r="G25" s="1">
        <v>8</v>
      </c>
      <c r="H25" s="24">
        <f t="shared" si="3"/>
        <v>5.1840000000000002E-4</v>
      </c>
      <c r="I25" s="25">
        <f t="shared" si="4"/>
        <v>9.2159999999999992E-2</v>
      </c>
      <c r="J25" s="26"/>
      <c r="K25" s="26"/>
      <c r="L25" s="27"/>
      <c r="M25" s="1"/>
      <c r="N25" s="28">
        <f t="shared" si="5"/>
        <v>0</v>
      </c>
      <c r="O25" s="23" t="s">
        <v>91</v>
      </c>
      <c r="P25" s="23"/>
      <c r="Q25" s="29"/>
    </row>
    <row r="26" spans="1:17" ht="38.4" customHeight="1" x14ac:dyDescent="0.3">
      <c r="A26" s="23">
        <f>IF(D26="","",SUBTOTAL(3,$D$15:D26))</f>
        <v>10</v>
      </c>
      <c r="B26" s="30" t="s">
        <v>92</v>
      </c>
      <c r="C26" s="23" t="s">
        <v>26</v>
      </c>
      <c r="D26" s="1">
        <v>4</v>
      </c>
      <c r="E26" s="1">
        <v>294</v>
      </c>
      <c r="F26" s="1">
        <v>159</v>
      </c>
      <c r="G26" s="1">
        <v>2</v>
      </c>
      <c r="H26" s="24">
        <f t="shared" si="3"/>
        <v>3.7396800000000002E-4</v>
      </c>
      <c r="I26" s="25">
        <f t="shared" si="4"/>
        <v>0.19423199999999999</v>
      </c>
      <c r="J26" s="26"/>
      <c r="K26" s="26"/>
      <c r="L26" s="27"/>
      <c r="M26" s="1"/>
      <c r="N26" s="28">
        <f t="shared" si="5"/>
        <v>0</v>
      </c>
      <c r="O26" s="31" t="s">
        <v>119</v>
      </c>
      <c r="P26" s="23"/>
      <c r="Q26" s="29"/>
    </row>
    <row r="27" spans="1:17" ht="38.4" customHeight="1" x14ac:dyDescent="0.3">
      <c r="A27" s="20" t="s">
        <v>6</v>
      </c>
      <c r="B27" s="22" t="s">
        <v>93</v>
      </c>
      <c r="C27" s="23"/>
      <c r="D27" s="1"/>
      <c r="E27" s="1"/>
      <c r="F27" s="1"/>
      <c r="G27" s="1"/>
      <c r="H27" s="24"/>
      <c r="I27" s="25"/>
      <c r="J27" s="26"/>
      <c r="K27" s="26"/>
      <c r="L27" s="27"/>
      <c r="M27" s="1"/>
      <c r="N27" s="28"/>
      <c r="O27" s="23"/>
      <c r="P27" s="23"/>
      <c r="Q27" s="29"/>
    </row>
    <row r="28" spans="1:17" ht="38.4" customHeight="1" x14ac:dyDescent="0.3">
      <c r="A28" s="23">
        <f>IF(D28="","",SUBTOTAL(3,$D$15:D28))</f>
        <v>11</v>
      </c>
      <c r="B28" s="30" t="s">
        <v>94</v>
      </c>
      <c r="C28" s="23" t="s">
        <v>61</v>
      </c>
      <c r="D28" s="23">
        <v>30</v>
      </c>
      <c r="E28" s="1">
        <v>38</v>
      </c>
      <c r="F28" s="1">
        <v>364</v>
      </c>
      <c r="G28" s="1">
        <v>1</v>
      </c>
      <c r="H28" s="24">
        <f t="shared" ref="H28:H31" si="6">D28*E28*F28*G28*10^-9</f>
        <v>4.1496000000000003E-4</v>
      </c>
      <c r="I28" s="25">
        <f t="shared" ref="I28:I31" si="7">(D28*E28*2+D28*F28*2+E28*F28*2)*10^-6*G28</f>
        <v>5.1783999999999997E-2</v>
      </c>
      <c r="J28" s="26"/>
      <c r="K28" s="26"/>
      <c r="L28" s="27"/>
      <c r="M28" s="1"/>
      <c r="N28" s="28">
        <f t="shared" ref="N28:N31" si="8">J28*K28*L28*M28*10^-9</f>
        <v>0</v>
      </c>
      <c r="O28" s="33" t="s">
        <v>122</v>
      </c>
      <c r="P28" s="23"/>
      <c r="Q28" s="29"/>
    </row>
    <row r="29" spans="1:17" ht="38.4" customHeight="1" x14ac:dyDescent="0.3">
      <c r="A29" s="23">
        <f>IF(D29="","",SUBTOTAL(3,$D$15:D29))</f>
        <v>12</v>
      </c>
      <c r="B29" s="30" t="s">
        <v>95</v>
      </c>
      <c r="C29" s="23" t="s">
        <v>61</v>
      </c>
      <c r="D29" s="23">
        <v>22</v>
      </c>
      <c r="E29" s="1">
        <v>45</v>
      </c>
      <c r="F29" s="1">
        <v>364</v>
      </c>
      <c r="G29" s="1">
        <v>1</v>
      </c>
      <c r="H29" s="24">
        <f t="shared" si="6"/>
        <v>3.6036E-4</v>
      </c>
      <c r="I29" s="25">
        <f t="shared" si="7"/>
        <v>5.0755999999999996E-2</v>
      </c>
      <c r="J29" s="26"/>
      <c r="K29" s="26"/>
      <c r="L29" s="27"/>
      <c r="M29" s="1"/>
      <c r="N29" s="28">
        <f t="shared" si="8"/>
        <v>0</v>
      </c>
      <c r="O29" s="33" t="s">
        <v>122</v>
      </c>
      <c r="P29" s="23"/>
      <c r="Q29" s="29"/>
    </row>
    <row r="30" spans="1:17" ht="38.4" customHeight="1" x14ac:dyDescent="0.3">
      <c r="A30" s="23">
        <f>IF(D30="","",SUBTOTAL(3,$D$15:D30))</f>
        <v>13</v>
      </c>
      <c r="B30" s="30" t="s">
        <v>95</v>
      </c>
      <c r="C30" s="23" t="s">
        <v>61</v>
      </c>
      <c r="D30" s="198">
        <v>20</v>
      </c>
      <c r="E30" s="100">
        <v>38</v>
      </c>
      <c r="F30" s="1">
        <v>364</v>
      </c>
      <c r="G30" s="1">
        <v>1</v>
      </c>
      <c r="H30" s="24">
        <f t="shared" si="6"/>
        <v>2.7664000000000003E-4</v>
      </c>
      <c r="I30" s="25">
        <f t="shared" si="7"/>
        <v>4.3743999999999998E-2</v>
      </c>
      <c r="J30" s="26"/>
      <c r="K30" s="26"/>
      <c r="L30" s="27"/>
      <c r="M30" s="1"/>
      <c r="N30" s="28">
        <f t="shared" si="8"/>
        <v>0</v>
      </c>
      <c r="O30" s="33" t="s">
        <v>122</v>
      </c>
      <c r="P30" s="34"/>
      <c r="Q30" s="29"/>
    </row>
    <row r="31" spans="1:17" ht="38.4" customHeight="1" x14ac:dyDescent="0.3">
      <c r="A31" s="23">
        <f>IF(D31="","",SUBTOTAL(3,$D$15:D31))</f>
        <v>14</v>
      </c>
      <c r="B31" s="30" t="s">
        <v>167</v>
      </c>
      <c r="C31" s="23" t="s">
        <v>26</v>
      </c>
      <c r="D31" s="1">
        <v>12</v>
      </c>
      <c r="E31" s="1">
        <v>294</v>
      </c>
      <c r="F31" s="1">
        <v>344</v>
      </c>
      <c r="G31" s="1">
        <v>1</v>
      </c>
      <c r="H31" s="24">
        <f t="shared" si="6"/>
        <v>1.2136320000000001E-3</v>
      </c>
      <c r="I31" s="25">
        <f t="shared" si="7"/>
        <v>0.217584</v>
      </c>
      <c r="J31" s="26"/>
      <c r="K31" s="26"/>
      <c r="L31" s="27"/>
      <c r="M31" s="1"/>
      <c r="N31" s="28">
        <f t="shared" si="8"/>
        <v>0</v>
      </c>
      <c r="O31" s="31" t="s">
        <v>119</v>
      </c>
      <c r="P31" s="23"/>
      <c r="Q31" s="29"/>
    </row>
    <row r="32" spans="1:17" ht="38.4" customHeight="1" x14ac:dyDescent="0.3">
      <c r="A32" s="20" t="s">
        <v>65</v>
      </c>
      <c r="B32" s="22" t="s">
        <v>96</v>
      </c>
      <c r="C32" s="23"/>
      <c r="D32" s="1"/>
      <c r="E32" s="1"/>
      <c r="F32" s="1"/>
      <c r="G32" s="1"/>
      <c r="H32" s="24"/>
      <c r="I32" s="25"/>
      <c r="J32" s="26"/>
      <c r="K32" s="26"/>
      <c r="L32" s="27"/>
      <c r="M32" s="1"/>
      <c r="N32" s="28"/>
      <c r="O32" s="33"/>
      <c r="P32" s="26"/>
      <c r="Q32" s="29"/>
    </row>
    <row r="33" spans="1:17" ht="38.4" customHeight="1" x14ac:dyDescent="0.3">
      <c r="A33" s="23">
        <f>IF(D33="","",SUBTOTAL(3,$D$15:D33))</f>
        <v>15</v>
      </c>
      <c r="B33" s="30" t="s">
        <v>97</v>
      </c>
      <c r="C33" s="23" t="s">
        <v>26</v>
      </c>
      <c r="D33" s="1">
        <v>4</v>
      </c>
      <c r="E33" s="1">
        <v>162</v>
      </c>
      <c r="F33" s="1">
        <v>348</v>
      </c>
      <c r="G33" s="1">
        <v>1</v>
      </c>
      <c r="H33" s="24">
        <f t="shared" si="0"/>
        <v>2.2550400000000001E-4</v>
      </c>
      <c r="I33" s="25">
        <f t="shared" si="1"/>
        <v>0.11683199999999999</v>
      </c>
      <c r="J33" s="26"/>
      <c r="K33" s="26"/>
      <c r="L33" s="27"/>
      <c r="M33" s="1"/>
      <c r="N33" s="28">
        <f t="shared" si="2"/>
        <v>0</v>
      </c>
      <c r="O33" s="33" t="s">
        <v>146</v>
      </c>
      <c r="P33" s="23"/>
      <c r="Q33" s="29"/>
    </row>
    <row r="34" spans="1:17" ht="38.4" customHeight="1" x14ac:dyDescent="0.3">
      <c r="A34" s="23">
        <f>IF(D34="","",SUBTOTAL(3,$D$15:D34))</f>
        <v>16</v>
      </c>
      <c r="B34" s="30" t="s">
        <v>98</v>
      </c>
      <c r="C34" s="23" t="s">
        <v>61</v>
      </c>
      <c r="D34" s="1">
        <v>38</v>
      </c>
      <c r="E34" s="1">
        <v>45</v>
      </c>
      <c r="F34" s="1">
        <v>364</v>
      </c>
      <c r="G34" s="1">
        <v>1</v>
      </c>
      <c r="H34" s="24">
        <f t="shared" si="0"/>
        <v>6.2244000000000004E-4</v>
      </c>
      <c r="I34" s="25">
        <f t="shared" si="1"/>
        <v>6.3843999999999998E-2</v>
      </c>
      <c r="J34" s="26"/>
      <c r="K34" s="26"/>
      <c r="L34" s="27"/>
      <c r="M34" s="1"/>
      <c r="N34" s="28">
        <f t="shared" si="2"/>
        <v>0</v>
      </c>
      <c r="O34" s="33" t="s">
        <v>122</v>
      </c>
      <c r="P34" s="23"/>
      <c r="Q34" s="29"/>
    </row>
    <row r="35" spans="1:17" ht="38.4" customHeight="1" x14ac:dyDescent="0.3">
      <c r="A35" s="23">
        <f>IF(D35="","",SUBTOTAL(3,$D$15:D35))</f>
        <v>17</v>
      </c>
      <c r="B35" s="30" t="s">
        <v>124</v>
      </c>
      <c r="C35" s="23" t="s">
        <v>61</v>
      </c>
      <c r="D35" s="1">
        <v>22</v>
      </c>
      <c r="E35" s="1">
        <v>45</v>
      </c>
      <c r="F35" s="1">
        <v>364</v>
      </c>
      <c r="G35" s="1">
        <v>1</v>
      </c>
      <c r="H35" s="24">
        <f t="shared" si="0"/>
        <v>3.6036E-4</v>
      </c>
      <c r="I35" s="25">
        <f t="shared" si="1"/>
        <v>5.0755999999999996E-2</v>
      </c>
      <c r="J35" s="26"/>
      <c r="K35" s="26"/>
      <c r="L35" s="27"/>
      <c r="M35" s="1"/>
      <c r="N35" s="28">
        <f t="shared" si="2"/>
        <v>0</v>
      </c>
      <c r="O35" s="33" t="s">
        <v>80</v>
      </c>
      <c r="P35" s="23"/>
      <c r="Q35" s="29"/>
    </row>
    <row r="36" spans="1:17" ht="38.4" customHeight="1" x14ac:dyDescent="0.3">
      <c r="A36" s="23">
        <f>IF(D36="","",SUBTOTAL(3,$D$15:D36))</f>
        <v>18</v>
      </c>
      <c r="B36" s="30" t="s">
        <v>95</v>
      </c>
      <c r="C36" s="23" t="s">
        <v>61</v>
      </c>
      <c r="D36" s="198">
        <v>20</v>
      </c>
      <c r="E36" s="100">
        <v>38</v>
      </c>
      <c r="F36" s="1">
        <v>364</v>
      </c>
      <c r="G36" s="1">
        <v>1</v>
      </c>
      <c r="H36" s="24">
        <f t="shared" ref="H36" si="9">D36*E36*F36*G36*10^-9</f>
        <v>2.7664000000000003E-4</v>
      </c>
      <c r="I36" s="25">
        <f t="shared" ref="I36" si="10">(D36*E36*2+D36*F36*2+E36*F36*2)*10^-6*G36</f>
        <v>4.3743999999999998E-2</v>
      </c>
      <c r="J36" s="26"/>
      <c r="K36" s="26"/>
      <c r="L36" s="27"/>
      <c r="M36" s="1"/>
      <c r="N36" s="28">
        <f t="shared" ref="N36" si="11">J36*K36*L36*M36*10^-9</f>
        <v>0</v>
      </c>
      <c r="O36" s="33" t="s">
        <v>122</v>
      </c>
      <c r="P36" s="101"/>
      <c r="Q36" s="29"/>
    </row>
    <row r="37" spans="1:17" ht="38.4" customHeight="1" x14ac:dyDescent="0.3">
      <c r="A37" s="23">
        <f>IF(D37="","",SUBTOTAL(3,$D$15:D37))</f>
        <v>19</v>
      </c>
      <c r="B37" s="30" t="s">
        <v>85</v>
      </c>
      <c r="C37" s="23" t="s">
        <v>86</v>
      </c>
      <c r="D37" s="1">
        <v>18</v>
      </c>
      <c r="E37" s="1">
        <v>60</v>
      </c>
      <c r="F37" s="1">
        <v>60</v>
      </c>
      <c r="G37" s="1">
        <v>4</v>
      </c>
      <c r="H37" s="24">
        <f t="shared" si="0"/>
        <v>2.5920000000000001E-4</v>
      </c>
      <c r="I37" s="25">
        <f t="shared" si="1"/>
        <v>4.6079999999999996E-2</v>
      </c>
      <c r="J37" s="26"/>
      <c r="K37" s="26"/>
      <c r="L37" s="27"/>
      <c r="M37" s="1"/>
      <c r="N37" s="28">
        <f t="shared" si="2"/>
        <v>0</v>
      </c>
      <c r="O37" s="23" t="s">
        <v>84</v>
      </c>
      <c r="P37" s="23"/>
      <c r="Q37" s="29"/>
    </row>
    <row r="38" spans="1:17" ht="38.4" customHeight="1" x14ac:dyDescent="0.3">
      <c r="A38" s="20" t="s">
        <v>99</v>
      </c>
      <c r="B38" s="22" t="s">
        <v>100</v>
      </c>
      <c r="C38" s="23"/>
      <c r="D38" s="1"/>
      <c r="E38" s="1"/>
      <c r="F38" s="1"/>
      <c r="G38" s="1"/>
      <c r="H38" s="24">
        <f t="shared" si="0"/>
        <v>0</v>
      </c>
      <c r="I38" s="25">
        <f t="shared" si="1"/>
        <v>0</v>
      </c>
      <c r="J38" s="26"/>
      <c r="K38" s="26"/>
      <c r="L38" s="27"/>
      <c r="M38" s="1"/>
      <c r="N38" s="28">
        <f t="shared" si="2"/>
        <v>0</v>
      </c>
      <c r="O38" s="23"/>
      <c r="P38" s="26"/>
      <c r="Q38" s="29"/>
    </row>
    <row r="39" spans="1:17" ht="38.4" customHeight="1" x14ac:dyDescent="0.3">
      <c r="A39" s="23">
        <f>IF(D39="","",SUBTOTAL(3,$D$15:D39))</f>
        <v>20</v>
      </c>
      <c r="B39" s="30" t="s">
        <v>147</v>
      </c>
      <c r="C39" s="23" t="s">
        <v>61</v>
      </c>
      <c r="D39" s="1">
        <v>7</v>
      </c>
      <c r="E39" s="1">
        <v>20</v>
      </c>
      <c r="F39" s="1">
        <v>134</v>
      </c>
      <c r="G39" s="1">
        <v>2</v>
      </c>
      <c r="H39" s="24">
        <f t="shared" si="0"/>
        <v>3.752E-5</v>
      </c>
      <c r="I39" s="25">
        <f t="shared" si="1"/>
        <v>1.5031999999999998E-2</v>
      </c>
      <c r="J39" s="26"/>
      <c r="K39" s="26"/>
      <c r="L39" s="27"/>
      <c r="M39" s="1"/>
      <c r="N39" s="28">
        <f t="shared" si="2"/>
        <v>0</v>
      </c>
      <c r="O39" s="33" t="s">
        <v>89</v>
      </c>
      <c r="P39" s="23"/>
      <c r="Q39" s="29"/>
    </row>
    <row r="40" spans="1:17" ht="38.4" customHeight="1" x14ac:dyDescent="0.3">
      <c r="A40" s="23">
        <f>IF(D40="","",SUBTOTAL(3,$D$15:D40))</f>
        <v>21</v>
      </c>
      <c r="B40" s="30" t="s">
        <v>83</v>
      </c>
      <c r="C40" s="23" t="s">
        <v>61</v>
      </c>
      <c r="D40" s="1">
        <v>7</v>
      </c>
      <c r="E40" s="1">
        <v>20</v>
      </c>
      <c r="F40" s="1">
        <v>378</v>
      </c>
      <c r="G40" s="1">
        <v>2</v>
      </c>
      <c r="H40" s="24">
        <f t="shared" si="0"/>
        <v>1.0584E-4</v>
      </c>
      <c r="I40" s="25">
        <f t="shared" si="1"/>
        <v>4.1383999999999997E-2</v>
      </c>
      <c r="J40" s="26"/>
      <c r="K40" s="26"/>
      <c r="L40" s="27"/>
      <c r="M40" s="1"/>
      <c r="N40" s="28">
        <f t="shared" si="2"/>
        <v>0</v>
      </c>
      <c r="O40" s="33" t="s">
        <v>89</v>
      </c>
      <c r="P40" s="23"/>
      <c r="Q40" s="29"/>
    </row>
    <row r="41" spans="1:17" ht="38.4" customHeight="1" x14ac:dyDescent="0.3">
      <c r="A41" s="23">
        <f>IF(D41="","",SUBTOTAL(3,$D$15:D41))</f>
        <v>22</v>
      </c>
      <c r="B41" s="30" t="s">
        <v>148</v>
      </c>
      <c r="C41" s="23" t="s">
        <v>33</v>
      </c>
      <c r="D41" s="1">
        <v>15</v>
      </c>
      <c r="E41" s="1">
        <v>120</v>
      </c>
      <c r="F41" s="1">
        <v>315</v>
      </c>
      <c r="G41" s="1">
        <v>1</v>
      </c>
      <c r="H41" s="24">
        <f t="shared" si="0"/>
        <v>5.6700000000000001E-4</v>
      </c>
      <c r="I41" s="25">
        <f t="shared" si="1"/>
        <v>8.8649999999999993E-2</v>
      </c>
      <c r="J41" s="26"/>
      <c r="K41" s="26"/>
      <c r="L41" s="27"/>
      <c r="M41" s="1"/>
      <c r="N41" s="28">
        <f t="shared" si="2"/>
        <v>0</v>
      </c>
      <c r="O41" s="33" t="s">
        <v>101</v>
      </c>
      <c r="P41" s="23"/>
      <c r="Q41" s="29"/>
    </row>
    <row r="42" spans="1:17" ht="38.4" customHeight="1" x14ac:dyDescent="0.3">
      <c r="A42" s="23">
        <f>IF(D42="","",SUBTOTAL(3,$D$15:D42))</f>
        <v>23</v>
      </c>
      <c r="B42" s="30" t="s">
        <v>149</v>
      </c>
      <c r="C42" s="23" t="s">
        <v>86</v>
      </c>
      <c r="D42" s="1">
        <v>15</v>
      </c>
      <c r="E42" s="1">
        <v>100</v>
      </c>
      <c r="F42" s="1">
        <v>278</v>
      </c>
      <c r="G42" s="1">
        <v>2</v>
      </c>
      <c r="H42" s="24">
        <f t="shared" si="0"/>
        <v>8.3400000000000011E-4</v>
      </c>
      <c r="I42" s="25">
        <f t="shared" si="1"/>
        <v>0.13388</v>
      </c>
      <c r="J42" s="26"/>
      <c r="K42" s="26"/>
      <c r="L42" s="27"/>
      <c r="M42" s="1"/>
      <c r="N42" s="28">
        <f t="shared" si="2"/>
        <v>0</v>
      </c>
      <c r="O42" s="23" t="s">
        <v>81</v>
      </c>
      <c r="P42" s="23"/>
      <c r="Q42" s="29"/>
    </row>
    <row r="43" spans="1:17" ht="38.4" customHeight="1" x14ac:dyDescent="0.3">
      <c r="A43" s="23">
        <f>IF(D43="","",SUBTOTAL(3,$D$15:D43))</f>
        <v>24</v>
      </c>
      <c r="B43" s="30" t="s">
        <v>150</v>
      </c>
      <c r="C43" s="23" t="s">
        <v>86</v>
      </c>
      <c r="D43" s="1">
        <v>15</v>
      </c>
      <c r="E43" s="100">
        <v>100</v>
      </c>
      <c r="F43" s="1">
        <v>268</v>
      </c>
      <c r="G43" s="1">
        <v>1</v>
      </c>
      <c r="H43" s="24">
        <f t="shared" si="0"/>
        <v>4.0200000000000001E-4</v>
      </c>
      <c r="I43" s="25">
        <f t="shared" si="1"/>
        <v>6.4640000000000003E-2</v>
      </c>
      <c r="J43" s="26"/>
      <c r="K43" s="26"/>
      <c r="L43" s="27"/>
      <c r="M43" s="1"/>
      <c r="N43" s="28">
        <f t="shared" si="2"/>
        <v>0</v>
      </c>
      <c r="O43" s="23" t="s">
        <v>81</v>
      </c>
      <c r="P43" s="23"/>
      <c r="Q43" s="29"/>
    </row>
    <row r="44" spans="1:17" ht="38.4" customHeight="1" x14ac:dyDescent="0.3">
      <c r="A44" s="23">
        <f>IF(D44="","",SUBTOTAL(3,$D$15:D44))</f>
        <v>25</v>
      </c>
      <c r="B44" s="30" t="s">
        <v>151</v>
      </c>
      <c r="C44" s="23" t="s">
        <v>26</v>
      </c>
      <c r="D44" s="1">
        <v>4</v>
      </c>
      <c r="E44" s="1">
        <v>265</v>
      </c>
      <c r="F44" s="1">
        <v>278</v>
      </c>
      <c r="G44" s="1">
        <v>1</v>
      </c>
      <c r="H44" s="24">
        <f t="shared" si="0"/>
        <v>2.9468000000000002E-4</v>
      </c>
      <c r="I44" s="25">
        <f t="shared" si="1"/>
        <v>0.15168399999999999</v>
      </c>
      <c r="J44" s="26"/>
      <c r="K44" s="26"/>
      <c r="L44" s="27"/>
      <c r="M44" s="1"/>
      <c r="N44" s="28">
        <f t="shared" si="2"/>
        <v>0</v>
      </c>
      <c r="O44" s="33" t="s">
        <v>101</v>
      </c>
      <c r="P44" s="23"/>
      <c r="Q44" s="29"/>
    </row>
    <row r="45" spans="1:17" ht="38.4" customHeight="1" x14ac:dyDescent="0.3">
      <c r="A45" s="23">
        <f>IF(D45="","",SUBTOTAL(3,$D$15:D45))</f>
        <v>26</v>
      </c>
      <c r="B45" s="30" t="s">
        <v>152</v>
      </c>
      <c r="C45" s="23" t="s">
        <v>86</v>
      </c>
      <c r="D45" s="1">
        <v>12</v>
      </c>
      <c r="E45" s="1">
        <v>40</v>
      </c>
      <c r="F45" s="1">
        <v>40</v>
      </c>
      <c r="G45" s="1">
        <v>4</v>
      </c>
      <c r="H45" s="24">
        <f t="shared" si="0"/>
        <v>7.680000000000001E-5</v>
      </c>
      <c r="I45" s="25">
        <f t="shared" si="1"/>
        <v>2.0479999999999998E-2</v>
      </c>
      <c r="J45" s="26"/>
      <c r="K45" s="26"/>
      <c r="L45" s="27"/>
      <c r="M45" s="1"/>
      <c r="N45" s="28">
        <f t="shared" si="2"/>
        <v>0</v>
      </c>
      <c r="O45" s="33" t="s">
        <v>101</v>
      </c>
      <c r="P45" s="23"/>
      <c r="Q45" s="29"/>
    </row>
    <row r="46" spans="1:17" s="44" customFormat="1" ht="36.75" customHeight="1" x14ac:dyDescent="0.25">
      <c r="A46" s="167"/>
      <c r="B46" s="168"/>
      <c r="C46" s="35" t="s">
        <v>27</v>
      </c>
      <c r="D46" s="36"/>
      <c r="E46" s="36"/>
      <c r="F46" s="36"/>
      <c r="G46" s="36"/>
      <c r="H46" s="37" t="s">
        <v>16</v>
      </c>
      <c r="I46" s="38" t="s">
        <v>17</v>
      </c>
      <c r="J46" s="39"/>
      <c r="K46" s="40"/>
      <c r="L46" s="40"/>
      <c r="M46" s="40"/>
      <c r="N46" s="41"/>
      <c r="O46" s="23" t="s">
        <v>84</v>
      </c>
      <c r="P46" s="42"/>
      <c r="Q46" s="43"/>
    </row>
    <row r="47" spans="1:17" ht="28.8" customHeight="1" x14ac:dyDescent="0.3">
      <c r="A47" s="45"/>
      <c r="B47" s="46"/>
      <c r="D47" s="47"/>
      <c r="E47" s="47"/>
      <c r="F47" s="47"/>
      <c r="G47" s="47"/>
      <c r="H47" s="48">
        <f t="shared" ref="H47:H59" si="12">SUMIF(C$15:C$45,C$48:C$59,H$15:H$45)</f>
        <v>0</v>
      </c>
      <c r="I47" s="49">
        <f t="shared" ref="I47:I59" si="13">SUMIF(C$15:C$45,C$48:C$59,I$15:I$45)</f>
        <v>0</v>
      </c>
      <c r="J47" s="50"/>
      <c r="K47" s="51"/>
      <c r="L47" s="51"/>
      <c r="M47" s="51"/>
      <c r="N47" s="52"/>
      <c r="O47" s="42"/>
      <c r="P47" s="53"/>
      <c r="Q47" s="54"/>
    </row>
    <row r="48" spans="1:17" ht="28.8" customHeight="1" x14ac:dyDescent="0.3">
      <c r="A48" s="169" t="s">
        <v>28</v>
      </c>
      <c r="B48" s="169"/>
      <c r="C48" s="23" t="s">
        <v>26</v>
      </c>
      <c r="D48" s="173"/>
      <c r="E48" s="173"/>
      <c r="F48" s="173"/>
      <c r="G48" s="173"/>
      <c r="H48" s="48">
        <f t="shared" si="12"/>
        <v>3.3214160000000002E-3</v>
      </c>
      <c r="I48" s="49">
        <f t="shared" si="13"/>
        <v>0.89791599999999994</v>
      </c>
      <c r="J48" s="144"/>
      <c r="K48" s="144"/>
      <c r="L48" s="144"/>
      <c r="M48" s="144"/>
      <c r="N48" s="144"/>
      <c r="O48" s="53"/>
      <c r="P48" s="152"/>
      <c r="Q48" s="54"/>
    </row>
    <row r="49" spans="1:17" ht="28.8" customHeight="1" x14ac:dyDescent="0.3">
      <c r="A49" s="170"/>
      <c r="B49" s="170"/>
      <c r="C49" s="23" t="s">
        <v>51</v>
      </c>
      <c r="D49" s="174"/>
      <c r="E49" s="174"/>
      <c r="F49" s="174"/>
      <c r="G49" s="174"/>
      <c r="H49" s="48">
        <f t="shared" si="12"/>
        <v>0</v>
      </c>
      <c r="I49" s="49">
        <f t="shared" si="13"/>
        <v>0</v>
      </c>
      <c r="J49" s="145"/>
      <c r="K49" s="145"/>
      <c r="L49" s="145"/>
      <c r="M49" s="145"/>
      <c r="N49" s="145"/>
      <c r="O49" s="152"/>
      <c r="P49" s="153"/>
      <c r="Q49" s="54"/>
    </row>
    <row r="50" spans="1:17" ht="16.2" customHeight="1" x14ac:dyDescent="0.3">
      <c r="A50" s="171"/>
      <c r="B50" s="171"/>
      <c r="C50" s="23" t="s">
        <v>25</v>
      </c>
      <c r="D50" s="175"/>
      <c r="E50" s="175"/>
      <c r="F50" s="175"/>
      <c r="G50" s="175"/>
      <c r="H50" s="49">
        <f t="shared" si="12"/>
        <v>0</v>
      </c>
      <c r="I50" s="49">
        <f t="shared" si="13"/>
        <v>0</v>
      </c>
      <c r="J50" s="145"/>
      <c r="K50" s="145"/>
      <c r="L50" s="145"/>
      <c r="M50" s="145"/>
      <c r="N50" s="145"/>
      <c r="O50" s="153"/>
      <c r="P50" s="153"/>
      <c r="Q50" s="54"/>
    </row>
    <row r="51" spans="1:17" ht="18" customHeight="1" x14ac:dyDescent="0.3">
      <c r="A51" s="171"/>
      <c r="B51" s="171"/>
      <c r="C51" s="23" t="s">
        <v>61</v>
      </c>
      <c r="D51" s="175"/>
      <c r="E51" s="175"/>
      <c r="F51" s="175"/>
      <c r="G51" s="175"/>
      <c r="H51" s="49">
        <f t="shared" si="12"/>
        <v>7.9316439999999981E-3</v>
      </c>
      <c r="I51" s="49">
        <f t="shared" si="13"/>
        <v>1.042788</v>
      </c>
      <c r="J51" s="145"/>
      <c r="K51" s="145"/>
      <c r="L51" s="145"/>
      <c r="M51" s="145"/>
      <c r="N51" s="145"/>
      <c r="O51" s="153"/>
      <c r="P51" s="153"/>
      <c r="Q51" s="54"/>
    </row>
    <row r="52" spans="1:17" ht="18" customHeight="1" x14ac:dyDescent="0.3">
      <c r="A52" s="171"/>
      <c r="B52" s="171"/>
      <c r="C52" s="23" t="s">
        <v>86</v>
      </c>
      <c r="D52" s="175"/>
      <c r="E52" s="175"/>
      <c r="F52" s="175"/>
      <c r="G52" s="175"/>
      <c r="H52" s="49">
        <f t="shared" si="12"/>
        <v>2.5990800000000006E-3</v>
      </c>
      <c r="I52" s="49">
        <f t="shared" si="13"/>
        <v>0.43960799999999994</v>
      </c>
      <c r="J52" s="145"/>
      <c r="K52" s="145"/>
      <c r="L52" s="145"/>
      <c r="M52" s="145"/>
      <c r="N52" s="145"/>
      <c r="O52" s="153"/>
      <c r="P52" s="153"/>
      <c r="Q52" s="54"/>
    </row>
    <row r="53" spans="1:17" ht="18" hidden="1" customHeight="1" x14ac:dyDescent="0.3">
      <c r="A53" s="171"/>
      <c r="B53" s="171"/>
      <c r="C53" s="55" t="s">
        <v>29</v>
      </c>
      <c r="D53" s="175"/>
      <c r="E53" s="175"/>
      <c r="F53" s="175"/>
      <c r="G53" s="175"/>
      <c r="H53" s="49">
        <f t="shared" si="12"/>
        <v>0</v>
      </c>
      <c r="I53" s="49">
        <f t="shared" si="13"/>
        <v>0</v>
      </c>
      <c r="J53" s="145"/>
      <c r="K53" s="145"/>
      <c r="L53" s="145"/>
      <c r="M53" s="145"/>
      <c r="N53" s="145"/>
      <c r="O53" s="153"/>
      <c r="P53" s="153"/>
      <c r="Q53" s="54"/>
    </row>
    <row r="54" spans="1:17" ht="18" hidden="1" customHeight="1" x14ac:dyDescent="0.3">
      <c r="A54" s="171"/>
      <c r="B54" s="171"/>
      <c r="C54" s="55" t="s">
        <v>30</v>
      </c>
      <c r="D54" s="175"/>
      <c r="E54" s="175"/>
      <c r="F54" s="175"/>
      <c r="G54" s="175"/>
      <c r="H54" s="49">
        <f t="shared" si="12"/>
        <v>0</v>
      </c>
      <c r="I54" s="49">
        <f t="shared" si="13"/>
        <v>0</v>
      </c>
      <c r="J54" s="145"/>
      <c r="K54" s="145"/>
      <c r="L54" s="145"/>
      <c r="M54" s="145"/>
      <c r="N54" s="145"/>
      <c r="O54" s="153"/>
      <c r="P54" s="153"/>
      <c r="Q54" s="54"/>
    </row>
    <row r="55" spans="1:17" ht="18" hidden="1" customHeight="1" x14ac:dyDescent="0.3">
      <c r="A55" s="171"/>
      <c r="B55" s="171"/>
      <c r="C55" s="55" t="s">
        <v>31</v>
      </c>
      <c r="D55" s="175"/>
      <c r="E55" s="175"/>
      <c r="F55" s="175"/>
      <c r="G55" s="175"/>
      <c r="H55" s="49">
        <f t="shared" si="12"/>
        <v>0</v>
      </c>
      <c r="I55" s="49">
        <f t="shared" si="13"/>
        <v>0</v>
      </c>
      <c r="J55" s="145"/>
      <c r="K55" s="145"/>
      <c r="L55" s="145"/>
      <c r="M55" s="145"/>
      <c r="N55" s="145"/>
      <c r="O55" s="153"/>
      <c r="P55" s="153"/>
      <c r="Q55" s="54"/>
    </row>
    <row r="56" spans="1:17" ht="18" hidden="1" customHeight="1" x14ac:dyDescent="0.3">
      <c r="A56" s="171"/>
      <c r="B56" s="171"/>
      <c r="C56" s="55" t="s">
        <v>32</v>
      </c>
      <c r="D56" s="175"/>
      <c r="E56" s="175"/>
      <c r="F56" s="175"/>
      <c r="G56" s="175"/>
      <c r="H56" s="49">
        <f t="shared" si="12"/>
        <v>0</v>
      </c>
      <c r="I56" s="49">
        <f t="shared" si="13"/>
        <v>0</v>
      </c>
      <c r="J56" s="145"/>
      <c r="K56" s="145"/>
      <c r="L56" s="145"/>
      <c r="M56" s="145"/>
      <c r="N56" s="145"/>
      <c r="O56" s="153"/>
      <c r="P56" s="153"/>
      <c r="Q56" s="54"/>
    </row>
    <row r="57" spans="1:17" ht="18" hidden="1" customHeight="1" x14ac:dyDescent="0.3">
      <c r="A57" s="171"/>
      <c r="B57" s="171"/>
      <c r="C57" s="55" t="s">
        <v>33</v>
      </c>
      <c r="D57" s="175"/>
      <c r="E57" s="175"/>
      <c r="F57" s="175"/>
      <c r="G57" s="175"/>
      <c r="H57" s="49">
        <f t="shared" si="12"/>
        <v>5.6700000000000001E-4</v>
      </c>
      <c r="I57" s="49">
        <f t="shared" si="13"/>
        <v>8.8649999999999993E-2</v>
      </c>
      <c r="J57" s="145"/>
      <c r="K57" s="145"/>
      <c r="L57" s="145"/>
      <c r="M57" s="145"/>
      <c r="N57" s="145"/>
      <c r="O57" s="153"/>
      <c r="P57" s="153"/>
      <c r="Q57" s="54"/>
    </row>
    <row r="58" spans="1:17" ht="18" hidden="1" customHeight="1" x14ac:dyDescent="0.3">
      <c r="A58" s="171"/>
      <c r="B58" s="171"/>
      <c r="C58" s="55" t="s">
        <v>34</v>
      </c>
      <c r="D58" s="175"/>
      <c r="E58" s="175"/>
      <c r="F58" s="175"/>
      <c r="G58" s="175"/>
      <c r="H58" s="49">
        <f t="shared" si="12"/>
        <v>0</v>
      </c>
      <c r="I58" s="49">
        <f t="shared" si="13"/>
        <v>0</v>
      </c>
      <c r="J58" s="145"/>
      <c r="K58" s="145"/>
      <c r="L58" s="145"/>
      <c r="M58" s="145"/>
      <c r="N58" s="145"/>
      <c r="O58" s="153"/>
      <c r="P58" s="153"/>
      <c r="Q58" s="54"/>
    </row>
    <row r="59" spans="1:17" ht="18" hidden="1" customHeight="1" x14ac:dyDescent="0.3">
      <c r="A59" s="172"/>
      <c r="B59" s="172"/>
      <c r="C59" s="56" t="s">
        <v>35</v>
      </c>
      <c r="D59" s="176"/>
      <c r="E59" s="176"/>
      <c r="F59" s="176"/>
      <c r="G59" s="176"/>
      <c r="H59" s="57">
        <f t="shared" si="12"/>
        <v>0</v>
      </c>
      <c r="I59" s="49">
        <f t="shared" si="13"/>
        <v>0</v>
      </c>
      <c r="J59" s="146"/>
      <c r="K59" s="146"/>
      <c r="L59" s="146"/>
      <c r="M59" s="146"/>
      <c r="N59" s="146"/>
      <c r="O59" s="153"/>
      <c r="P59" s="154"/>
      <c r="Q59" s="54"/>
    </row>
    <row r="60" spans="1:17" s="14" customFormat="1" ht="18" customHeight="1" x14ac:dyDescent="0.3">
      <c r="A60" s="155" t="s">
        <v>36</v>
      </c>
      <c r="B60" s="156"/>
      <c r="C60" s="58"/>
      <c r="D60" s="157"/>
      <c r="E60" s="157"/>
      <c r="F60" s="157"/>
      <c r="G60" s="157"/>
      <c r="H60" s="59">
        <f>SUM(H48:H59)</f>
        <v>1.4419139999999999E-2</v>
      </c>
      <c r="I60" s="59">
        <f>SUBTOTAL(9,I15:I45)</f>
        <v>2.4689619999999994</v>
      </c>
      <c r="J60" s="158">
        <f>1/H60</f>
        <v>69.352263727240327</v>
      </c>
      <c r="K60" s="159"/>
      <c r="L60" s="60"/>
      <c r="M60" s="60"/>
      <c r="N60" s="60"/>
      <c r="O60" s="154"/>
      <c r="P60" s="60"/>
      <c r="Q60" s="16"/>
    </row>
    <row r="61" spans="1:17" ht="18" customHeight="1" x14ac:dyDescent="0.3">
      <c r="A61" s="4"/>
      <c r="D61" s="4"/>
      <c r="E61" s="4"/>
      <c r="F61" s="4"/>
      <c r="G61" s="4"/>
      <c r="H61" s="61"/>
      <c r="I61" s="61"/>
      <c r="J61" s="151"/>
      <c r="K61" s="151"/>
      <c r="O61" s="60"/>
      <c r="P61" s="54"/>
      <c r="Q61" s="54"/>
    </row>
    <row r="62" spans="1:17" s="14" customFormat="1" ht="18" customHeight="1" x14ac:dyDescent="0.3">
      <c r="B62" s="15"/>
      <c r="C62" s="16"/>
      <c r="D62" s="16"/>
      <c r="E62" s="16"/>
      <c r="F62" s="16"/>
      <c r="G62" s="16"/>
      <c r="H62" s="17"/>
      <c r="I62" s="17"/>
      <c r="J62" s="16"/>
      <c r="K62" s="16"/>
      <c r="L62" s="16"/>
      <c r="M62" s="16"/>
      <c r="N62" s="16"/>
      <c r="O62" s="54"/>
      <c r="P62" s="16"/>
      <c r="Q62" s="16"/>
    </row>
    <row r="63" spans="1:17" s="63" customFormat="1" ht="14.1" customHeight="1" x14ac:dyDescent="0.3">
      <c r="A63" s="62" t="s">
        <v>37</v>
      </c>
      <c r="D63" s="64"/>
      <c r="G63" s="64"/>
      <c r="H63" s="64"/>
      <c r="I63" s="64"/>
      <c r="J63" s="64"/>
      <c r="O63" s="16"/>
    </row>
    <row r="64" spans="1:17" s="63" customFormat="1" ht="14.1" customHeight="1" x14ac:dyDescent="0.25">
      <c r="A64" s="160" t="s">
        <v>11</v>
      </c>
      <c r="B64" s="162" t="s">
        <v>38</v>
      </c>
      <c r="C64" s="163"/>
      <c r="D64" s="162" t="s">
        <v>77</v>
      </c>
      <c r="E64" s="163"/>
      <c r="F64" s="147" t="s">
        <v>40</v>
      </c>
      <c r="G64" s="147"/>
      <c r="H64" s="147"/>
      <c r="I64" s="147"/>
      <c r="J64" s="147"/>
      <c r="K64" s="166" t="s">
        <v>41</v>
      </c>
      <c r="L64" s="166"/>
      <c r="M64" s="147" t="s">
        <v>42</v>
      </c>
      <c r="N64" s="147" t="s">
        <v>78</v>
      </c>
      <c r="O64" s="148" t="s">
        <v>79</v>
      </c>
      <c r="P64" s="149"/>
    </row>
    <row r="65" spans="1:18" s="63" customFormat="1" ht="14.1" customHeight="1" x14ac:dyDescent="0.25">
      <c r="A65" s="161"/>
      <c r="B65" s="164"/>
      <c r="C65" s="165"/>
      <c r="D65" s="164"/>
      <c r="E65" s="165"/>
      <c r="F65" s="147"/>
      <c r="G65" s="147"/>
      <c r="H65" s="147"/>
      <c r="I65" s="147"/>
      <c r="J65" s="147"/>
      <c r="K65" s="65" t="s">
        <v>45</v>
      </c>
      <c r="L65" s="65" t="s">
        <v>46</v>
      </c>
      <c r="M65" s="147"/>
      <c r="N65" s="147"/>
      <c r="O65" s="148"/>
      <c r="P65" s="150"/>
    </row>
    <row r="66" spans="1:18" s="63" customFormat="1" ht="31.2" customHeight="1" x14ac:dyDescent="0.25">
      <c r="A66" s="66">
        <v>1</v>
      </c>
      <c r="B66" s="132" t="s">
        <v>102</v>
      </c>
      <c r="C66" s="132"/>
      <c r="D66" s="133"/>
      <c r="E66" s="133"/>
      <c r="F66" s="133" t="s">
        <v>66</v>
      </c>
      <c r="G66" s="133"/>
      <c r="H66" s="133"/>
      <c r="I66" s="133"/>
      <c r="J66" s="133"/>
      <c r="K66" s="66">
        <v>1</v>
      </c>
      <c r="L66" s="66"/>
      <c r="M66" s="67" t="s">
        <v>67</v>
      </c>
      <c r="N66" s="66" t="s">
        <v>103</v>
      </c>
      <c r="O66" s="88" t="s">
        <v>139</v>
      </c>
      <c r="P66" s="68"/>
    </row>
    <row r="67" spans="1:18" s="63" customFormat="1" ht="55.2" customHeight="1" x14ac:dyDescent="0.25">
      <c r="A67" s="66">
        <v>2</v>
      </c>
      <c r="B67" s="132" t="s">
        <v>102</v>
      </c>
      <c r="C67" s="132"/>
      <c r="D67" s="133"/>
      <c r="E67" s="133"/>
      <c r="F67" s="133" t="s">
        <v>66</v>
      </c>
      <c r="G67" s="133"/>
      <c r="H67" s="133"/>
      <c r="I67" s="133"/>
      <c r="J67" s="133"/>
      <c r="K67" s="66"/>
      <c r="L67" s="66">
        <v>3</v>
      </c>
      <c r="M67" s="67" t="s">
        <v>67</v>
      </c>
      <c r="N67" s="66" t="s">
        <v>140</v>
      </c>
      <c r="O67" s="88"/>
      <c r="P67" s="68"/>
    </row>
    <row r="68" spans="1:18" s="63" customFormat="1" ht="14.1" customHeight="1" x14ac:dyDescent="0.25">
      <c r="A68" s="66">
        <v>3</v>
      </c>
      <c r="B68" s="132" t="s">
        <v>104</v>
      </c>
      <c r="C68" s="132"/>
      <c r="D68" s="133"/>
      <c r="E68" s="133"/>
      <c r="F68" s="133" t="s">
        <v>105</v>
      </c>
      <c r="G68" s="133"/>
      <c r="H68" s="133"/>
      <c r="I68" s="133"/>
      <c r="J68" s="133"/>
      <c r="K68" s="66">
        <v>2</v>
      </c>
      <c r="L68" s="66"/>
      <c r="M68" s="67" t="s">
        <v>47</v>
      </c>
      <c r="N68" s="66" t="s">
        <v>106</v>
      </c>
      <c r="O68" s="68"/>
      <c r="P68" s="68"/>
      <c r="R68" s="69"/>
    </row>
    <row r="69" spans="1:18" s="63" customFormat="1" ht="14.1" customHeight="1" x14ac:dyDescent="0.25">
      <c r="A69" s="66">
        <v>4</v>
      </c>
      <c r="B69" s="132" t="s">
        <v>104</v>
      </c>
      <c r="C69" s="132"/>
      <c r="D69" s="133"/>
      <c r="E69" s="133"/>
      <c r="F69" s="133" t="s">
        <v>105</v>
      </c>
      <c r="G69" s="133"/>
      <c r="H69" s="133"/>
      <c r="I69" s="133"/>
      <c r="J69" s="133"/>
      <c r="K69" s="66"/>
      <c r="L69" s="66">
        <v>2</v>
      </c>
      <c r="M69" s="67" t="s">
        <v>47</v>
      </c>
      <c r="N69" s="66" t="s">
        <v>106</v>
      </c>
      <c r="O69" s="68"/>
      <c r="P69" s="68"/>
      <c r="R69" s="69"/>
    </row>
    <row r="70" spans="1:18" s="63" customFormat="1" ht="14.1" customHeight="1" x14ac:dyDescent="0.25">
      <c r="A70" s="66">
        <v>5</v>
      </c>
      <c r="B70" s="132" t="s">
        <v>153</v>
      </c>
      <c r="C70" s="132"/>
      <c r="D70" s="133"/>
      <c r="E70" s="133"/>
      <c r="F70" s="133" t="s">
        <v>166</v>
      </c>
      <c r="G70" s="133"/>
      <c r="H70" s="133"/>
      <c r="I70" s="133"/>
      <c r="J70" s="133"/>
      <c r="K70" s="66">
        <v>1</v>
      </c>
      <c r="L70" s="66"/>
      <c r="M70" s="67" t="s">
        <v>67</v>
      </c>
      <c r="N70" s="66" t="s">
        <v>141</v>
      </c>
      <c r="O70" s="68"/>
      <c r="P70" s="68"/>
    </row>
    <row r="71" spans="1:18" s="63" customFormat="1" ht="14.1" customHeight="1" x14ac:dyDescent="0.25">
      <c r="A71" s="66">
        <v>6</v>
      </c>
      <c r="B71" s="138" t="s">
        <v>69</v>
      </c>
      <c r="C71" s="139"/>
      <c r="D71" s="140"/>
      <c r="E71" s="141"/>
      <c r="F71" s="140" t="s">
        <v>70</v>
      </c>
      <c r="G71" s="142"/>
      <c r="H71" s="142"/>
      <c r="I71" s="142"/>
      <c r="J71" s="143"/>
      <c r="K71" s="70">
        <v>12</v>
      </c>
      <c r="L71" s="70"/>
      <c r="M71" s="71" t="s">
        <v>47</v>
      </c>
      <c r="N71" s="66" t="s">
        <v>106</v>
      </c>
      <c r="O71" s="68"/>
      <c r="P71" s="68"/>
    </row>
    <row r="72" spans="1:18" s="63" customFormat="1" ht="14.1" customHeight="1" x14ac:dyDescent="0.25">
      <c r="A72" s="66">
        <v>7</v>
      </c>
      <c r="B72" s="138" t="s">
        <v>71</v>
      </c>
      <c r="C72" s="139"/>
      <c r="D72" s="140"/>
      <c r="E72" s="141"/>
      <c r="F72" s="140" t="s">
        <v>154</v>
      </c>
      <c r="G72" s="142"/>
      <c r="H72" s="142"/>
      <c r="I72" s="142"/>
      <c r="J72" s="143"/>
      <c r="K72" s="70">
        <v>12</v>
      </c>
      <c r="L72" s="72"/>
      <c r="M72" s="73" t="s">
        <v>47</v>
      </c>
      <c r="N72" s="66" t="s">
        <v>106</v>
      </c>
      <c r="O72" s="68"/>
      <c r="P72" s="68"/>
    </row>
    <row r="73" spans="1:18" s="63" customFormat="1" ht="14.1" customHeight="1" x14ac:dyDescent="0.25">
      <c r="A73" s="66">
        <v>8</v>
      </c>
      <c r="B73" s="132" t="s">
        <v>107</v>
      </c>
      <c r="C73" s="132"/>
      <c r="D73" s="133"/>
      <c r="E73" s="133"/>
      <c r="F73" s="133" t="s">
        <v>72</v>
      </c>
      <c r="G73" s="133"/>
      <c r="H73" s="133"/>
      <c r="I73" s="133"/>
      <c r="J73" s="133"/>
      <c r="K73" s="66">
        <v>68</v>
      </c>
      <c r="L73" s="66"/>
      <c r="M73" s="67" t="s">
        <v>47</v>
      </c>
      <c r="N73" s="74" t="s">
        <v>48</v>
      </c>
      <c r="O73" s="68"/>
      <c r="P73" s="68"/>
    </row>
    <row r="74" spans="1:18" s="63" customFormat="1" ht="13.8" customHeight="1" x14ac:dyDescent="0.25">
      <c r="A74" s="66">
        <v>9</v>
      </c>
      <c r="B74" s="132" t="s">
        <v>107</v>
      </c>
      <c r="C74" s="132"/>
      <c r="D74" s="133"/>
      <c r="E74" s="133"/>
      <c r="F74" s="133" t="s">
        <v>144</v>
      </c>
      <c r="G74" s="133"/>
      <c r="H74" s="133"/>
      <c r="I74" s="133"/>
      <c r="J74" s="133"/>
      <c r="K74" s="66">
        <v>20</v>
      </c>
      <c r="L74" s="66"/>
      <c r="M74" s="67" t="s">
        <v>47</v>
      </c>
      <c r="N74" s="74" t="s">
        <v>48</v>
      </c>
      <c r="O74" s="68"/>
      <c r="P74" s="68"/>
    </row>
    <row r="75" spans="1:18" s="63" customFormat="1" ht="14.1" customHeight="1" x14ac:dyDescent="0.25">
      <c r="A75" s="66">
        <v>10</v>
      </c>
      <c r="B75" s="132" t="s">
        <v>73</v>
      </c>
      <c r="C75" s="132"/>
      <c r="D75" s="133"/>
      <c r="E75" s="133"/>
      <c r="F75" s="137"/>
      <c r="G75" s="133"/>
      <c r="H75" s="133"/>
      <c r="I75" s="133"/>
      <c r="J75" s="133"/>
      <c r="K75" s="66">
        <v>1</v>
      </c>
      <c r="L75" s="66"/>
      <c r="M75" s="67" t="s">
        <v>142</v>
      </c>
      <c r="N75" s="66"/>
      <c r="O75" s="68"/>
      <c r="P75" s="68"/>
    </row>
    <row r="76" spans="1:18" s="63" customFormat="1" ht="13.2" x14ac:dyDescent="0.25">
      <c r="A76" s="66">
        <v>11</v>
      </c>
      <c r="B76" s="132" t="s">
        <v>108</v>
      </c>
      <c r="C76" s="132"/>
      <c r="D76" s="133"/>
      <c r="E76" s="133"/>
      <c r="F76" s="137"/>
      <c r="G76" s="133"/>
      <c r="H76" s="133"/>
      <c r="I76" s="133"/>
      <c r="J76" s="133"/>
      <c r="K76" s="66">
        <v>1</v>
      </c>
      <c r="L76" s="66"/>
      <c r="M76" s="67" t="s">
        <v>142</v>
      </c>
      <c r="N76" s="66"/>
      <c r="O76" s="68"/>
      <c r="P76" s="68"/>
    </row>
    <row r="77" spans="1:18" s="63" customFormat="1" ht="13.2" x14ac:dyDescent="0.25">
      <c r="A77" s="66">
        <v>12</v>
      </c>
      <c r="B77" s="132" t="s">
        <v>109</v>
      </c>
      <c r="C77" s="132"/>
      <c r="D77" s="133"/>
      <c r="E77" s="133"/>
      <c r="F77" s="133" t="s">
        <v>143</v>
      </c>
      <c r="G77" s="133"/>
      <c r="H77" s="133"/>
      <c r="I77" s="133"/>
      <c r="J77" s="133"/>
      <c r="K77" s="66">
        <v>6</v>
      </c>
      <c r="L77" s="66"/>
      <c r="M77" s="67" t="s">
        <v>47</v>
      </c>
      <c r="N77" s="74"/>
      <c r="O77" s="68"/>
      <c r="P77" s="68"/>
    </row>
    <row r="78" spans="1:18" s="63" customFormat="1" ht="13.2" x14ac:dyDescent="0.25">
      <c r="A78" s="66">
        <v>13</v>
      </c>
      <c r="B78" s="132" t="s">
        <v>75</v>
      </c>
      <c r="C78" s="132"/>
      <c r="D78" s="133"/>
      <c r="E78" s="133"/>
      <c r="F78" s="137"/>
      <c r="G78" s="133"/>
      <c r="H78" s="133"/>
      <c r="I78" s="133"/>
      <c r="J78" s="133"/>
      <c r="K78" s="66">
        <v>100</v>
      </c>
      <c r="L78" s="66"/>
      <c r="M78" s="67" t="s">
        <v>74</v>
      </c>
      <c r="N78" s="66"/>
      <c r="O78" s="68"/>
      <c r="P78" s="68"/>
    </row>
    <row r="79" spans="1:18" s="63" customFormat="1" ht="40.799999999999997" customHeight="1" x14ac:dyDescent="0.25">
      <c r="A79" s="66">
        <v>14</v>
      </c>
      <c r="B79" s="132" t="s">
        <v>158</v>
      </c>
      <c r="C79" s="132"/>
      <c r="D79" s="133"/>
      <c r="E79" s="133"/>
      <c r="F79" s="134" t="s">
        <v>66</v>
      </c>
      <c r="G79" s="134"/>
      <c r="H79" s="134"/>
      <c r="I79" s="134"/>
      <c r="J79" s="134"/>
      <c r="K79" s="66">
        <v>4</v>
      </c>
      <c r="L79" s="66"/>
      <c r="M79" s="67" t="s">
        <v>67</v>
      </c>
      <c r="N79" s="66"/>
      <c r="O79" s="68"/>
      <c r="P79" s="68"/>
    </row>
    <row r="80" spans="1:18" s="3" customFormat="1" ht="40.799999999999997" customHeight="1" x14ac:dyDescent="0.3">
      <c r="A80" s="14"/>
      <c r="B80" s="15" t="s">
        <v>59</v>
      </c>
      <c r="C80" s="13">
        <v>950</v>
      </c>
      <c r="D80" s="13">
        <v>450</v>
      </c>
      <c r="E80" s="13">
        <v>900</v>
      </c>
      <c r="F80" s="14" t="s">
        <v>9</v>
      </c>
      <c r="G80" s="13"/>
      <c r="H80" s="13"/>
      <c r="I80" s="17"/>
      <c r="J80" s="16"/>
      <c r="K80" s="16"/>
      <c r="L80" s="16"/>
      <c r="M80" s="16"/>
      <c r="N80" s="16"/>
      <c r="O80" s="68"/>
      <c r="P80" s="16"/>
    </row>
    <row r="81" spans="1:16" s="3" customFormat="1" ht="18" customHeight="1" x14ac:dyDescent="0.3">
      <c r="A81" s="130" t="s">
        <v>11</v>
      </c>
      <c r="B81" s="130" t="s">
        <v>38</v>
      </c>
      <c r="C81" s="130" t="s">
        <v>39</v>
      </c>
      <c r="D81" s="109" t="s">
        <v>40</v>
      </c>
      <c r="E81" s="110"/>
      <c r="F81" s="111"/>
      <c r="G81" s="135" t="s">
        <v>41</v>
      </c>
      <c r="H81" s="136"/>
      <c r="I81" s="130" t="s">
        <v>42</v>
      </c>
      <c r="J81" s="109" t="s">
        <v>43</v>
      </c>
      <c r="K81" s="110"/>
      <c r="L81" s="110"/>
      <c r="M81" s="110"/>
      <c r="N81" s="111"/>
      <c r="O81" s="86" t="s">
        <v>44</v>
      </c>
      <c r="P81" s="130"/>
    </row>
    <row r="82" spans="1:16" s="3" customFormat="1" ht="18" customHeight="1" x14ac:dyDescent="0.3">
      <c r="A82" s="131"/>
      <c r="B82" s="131"/>
      <c r="C82" s="131"/>
      <c r="D82" s="112"/>
      <c r="E82" s="113"/>
      <c r="F82" s="114"/>
      <c r="G82" s="20" t="s">
        <v>45</v>
      </c>
      <c r="H82" s="20" t="s">
        <v>46</v>
      </c>
      <c r="I82" s="131"/>
      <c r="J82" s="112"/>
      <c r="K82" s="113"/>
      <c r="L82" s="113"/>
      <c r="M82" s="113"/>
      <c r="N82" s="114"/>
      <c r="O82" s="87"/>
      <c r="P82" s="131"/>
    </row>
    <row r="83" spans="1:16" s="3" customFormat="1" ht="18" customHeight="1" x14ac:dyDescent="0.3">
      <c r="A83" s="23">
        <v>1</v>
      </c>
      <c r="B83" s="75" t="s">
        <v>50</v>
      </c>
      <c r="C83" s="23"/>
      <c r="D83" s="115" t="s">
        <v>159</v>
      </c>
      <c r="E83" s="116"/>
      <c r="F83" s="117"/>
      <c r="G83" s="23"/>
      <c r="H83" s="76">
        <v>1</v>
      </c>
      <c r="I83" s="77" t="s">
        <v>58</v>
      </c>
      <c r="J83" s="118" t="s">
        <v>60</v>
      </c>
      <c r="K83" s="119"/>
      <c r="L83" s="119"/>
      <c r="M83" s="119"/>
      <c r="N83" s="120"/>
      <c r="O83" s="78" t="s">
        <v>110</v>
      </c>
      <c r="P83" s="78"/>
    </row>
    <row r="84" spans="1:16" s="3" customFormat="1" ht="18" customHeight="1" x14ac:dyDescent="0.3">
      <c r="A84" s="23">
        <v>2</v>
      </c>
      <c r="B84" s="99" t="s">
        <v>179</v>
      </c>
      <c r="C84" s="23"/>
      <c r="D84" s="124"/>
      <c r="E84" s="125"/>
      <c r="F84" s="126"/>
      <c r="G84" s="23"/>
      <c r="H84" s="76">
        <v>1</v>
      </c>
      <c r="I84" s="1" t="s">
        <v>178</v>
      </c>
      <c r="J84" s="127"/>
      <c r="K84" s="128"/>
      <c r="L84" s="128"/>
      <c r="M84" s="128"/>
      <c r="N84" s="129"/>
      <c r="O84" s="1"/>
      <c r="P84" s="1"/>
    </row>
    <row r="85" spans="1:16" s="3" customFormat="1" ht="18" customHeight="1" x14ac:dyDescent="0.3">
      <c r="A85" s="23">
        <v>3</v>
      </c>
      <c r="B85" s="74" t="s">
        <v>111</v>
      </c>
      <c r="C85" s="23"/>
      <c r="D85" s="124" t="s">
        <v>112</v>
      </c>
      <c r="E85" s="125"/>
      <c r="F85" s="126"/>
      <c r="G85" s="23"/>
      <c r="H85" s="76">
        <v>8</v>
      </c>
      <c r="I85" s="1" t="s">
        <v>58</v>
      </c>
      <c r="J85" s="127"/>
      <c r="K85" s="128"/>
      <c r="L85" s="128"/>
      <c r="M85" s="128"/>
      <c r="N85" s="129"/>
      <c r="O85" s="1"/>
      <c r="P85" s="1"/>
    </row>
    <row r="86" spans="1:16" s="3" customFormat="1" ht="18" customHeight="1" x14ac:dyDescent="0.3">
      <c r="A86" s="23">
        <v>4</v>
      </c>
      <c r="B86" s="74" t="s">
        <v>125</v>
      </c>
      <c r="C86" s="23"/>
      <c r="D86" s="124" t="s">
        <v>161</v>
      </c>
      <c r="E86" s="125"/>
      <c r="F86" s="126"/>
      <c r="G86" s="23"/>
      <c r="H86" s="76">
        <v>2</v>
      </c>
      <c r="I86" s="1" t="s">
        <v>58</v>
      </c>
      <c r="J86" s="127" t="s">
        <v>126</v>
      </c>
      <c r="K86" s="128"/>
      <c r="L86" s="128"/>
      <c r="M86" s="128"/>
      <c r="N86" s="129"/>
      <c r="O86" s="1"/>
      <c r="P86" s="1"/>
    </row>
    <row r="87" spans="1:16" s="3" customFormat="1" ht="18" customHeight="1" x14ac:dyDescent="0.3">
      <c r="A87" s="23">
        <v>5</v>
      </c>
      <c r="B87" s="74" t="s">
        <v>125</v>
      </c>
      <c r="C87" s="23"/>
      <c r="D87" s="124" t="s">
        <v>127</v>
      </c>
      <c r="E87" s="125"/>
      <c r="F87" s="126"/>
      <c r="G87" s="23"/>
      <c r="H87" s="76">
        <v>2</v>
      </c>
      <c r="I87" s="1" t="s">
        <v>58</v>
      </c>
      <c r="J87" s="127" t="s">
        <v>126</v>
      </c>
      <c r="K87" s="128"/>
      <c r="L87" s="128"/>
      <c r="M87" s="128"/>
      <c r="N87" s="129"/>
      <c r="O87" s="1"/>
      <c r="P87" s="1"/>
    </row>
    <row r="88" spans="1:16" s="3" customFormat="1" ht="18" customHeight="1" x14ac:dyDescent="0.3">
      <c r="A88" s="23">
        <v>6</v>
      </c>
      <c r="B88" s="74" t="s">
        <v>125</v>
      </c>
      <c r="C88" s="23"/>
      <c r="D88" s="124" t="s">
        <v>155</v>
      </c>
      <c r="E88" s="125"/>
      <c r="F88" s="126"/>
      <c r="G88" s="23"/>
      <c r="H88" s="76">
        <v>4</v>
      </c>
      <c r="I88" s="1" t="s">
        <v>58</v>
      </c>
      <c r="J88" s="127" t="s">
        <v>126</v>
      </c>
      <c r="K88" s="128"/>
      <c r="L88" s="128"/>
      <c r="M88" s="128"/>
      <c r="N88" s="129"/>
      <c r="O88" s="1"/>
      <c r="P88" s="1"/>
    </row>
    <row r="89" spans="1:16" s="3" customFormat="1" ht="18" customHeight="1" x14ac:dyDescent="0.3">
      <c r="A89" s="23">
        <v>7</v>
      </c>
      <c r="B89" s="74" t="s">
        <v>128</v>
      </c>
      <c r="C89" s="23"/>
      <c r="D89" s="124" t="s">
        <v>113</v>
      </c>
      <c r="E89" s="125"/>
      <c r="F89" s="126"/>
      <c r="G89" s="23"/>
      <c r="H89" s="76">
        <v>8</v>
      </c>
      <c r="I89" s="1" t="s">
        <v>58</v>
      </c>
      <c r="J89" s="127" t="s">
        <v>129</v>
      </c>
      <c r="K89" s="128"/>
      <c r="L89" s="128"/>
      <c r="M89" s="128"/>
      <c r="N89" s="129"/>
      <c r="O89" s="1"/>
      <c r="P89" s="1"/>
    </row>
    <row r="90" spans="1:16" s="3" customFormat="1" ht="18" customHeight="1" x14ac:dyDescent="0.3">
      <c r="A90" s="23">
        <v>8</v>
      </c>
      <c r="B90" s="74" t="s">
        <v>130</v>
      </c>
      <c r="C90" s="23"/>
      <c r="D90" s="124" t="s">
        <v>162</v>
      </c>
      <c r="E90" s="125"/>
      <c r="F90" s="126"/>
      <c r="G90" s="23"/>
      <c r="H90" s="76">
        <v>2</v>
      </c>
      <c r="I90" s="1" t="s">
        <v>58</v>
      </c>
      <c r="J90" s="127" t="s">
        <v>129</v>
      </c>
      <c r="K90" s="128"/>
      <c r="L90" s="128"/>
      <c r="M90" s="128"/>
      <c r="N90" s="129"/>
      <c r="O90" s="1"/>
      <c r="P90" s="1"/>
    </row>
    <row r="91" spans="1:16" s="3" customFormat="1" ht="18" customHeight="1" x14ac:dyDescent="0.3">
      <c r="A91" s="23">
        <v>9</v>
      </c>
      <c r="B91" s="74" t="s">
        <v>130</v>
      </c>
      <c r="C91" s="23"/>
      <c r="D91" s="124" t="s">
        <v>131</v>
      </c>
      <c r="E91" s="125"/>
      <c r="F91" s="126"/>
      <c r="G91" s="23"/>
      <c r="H91" s="76">
        <v>2</v>
      </c>
      <c r="I91" s="1" t="s">
        <v>58</v>
      </c>
      <c r="J91" s="127" t="s">
        <v>129</v>
      </c>
      <c r="K91" s="128"/>
      <c r="L91" s="128"/>
      <c r="M91" s="128"/>
      <c r="N91" s="129"/>
      <c r="O91" s="1"/>
      <c r="P91" s="1"/>
    </row>
    <row r="92" spans="1:16" s="3" customFormat="1" ht="18" customHeight="1" x14ac:dyDescent="0.3">
      <c r="A92" s="23">
        <v>10</v>
      </c>
      <c r="B92" s="74" t="s">
        <v>130</v>
      </c>
      <c r="C92" s="23"/>
      <c r="D92" s="124" t="s">
        <v>163</v>
      </c>
      <c r="E92" s="125"/>
      <c r="F92" s="126"/>
      <c r="G92" s="23"/>
      <c r="H92" s="76">
        <v>4</v>
      </c>
      <c r="I92" s="1" t="s">
        <v>58</v>
      </c>
      <c r="J92" s="127" t="s">
        <v>129</v>
      </c>
      <c r="K92" s="128"/>
      <c r="L92" s="128"/>
      <c r="M92" s="128"/>
      <c r="N92" s="129"/>
      <c r="O92" s="1"/>
      <c r="P92" s="1"/>
    </row>
    <row r="93" spans="1:16" s="3" customFormat="1" ht="18" customHeight="1" x14ac:dyDescent="0.3">
      <c r="A93" s="23">
        <v>11</v>
      </c>
      <c r="B93" s="74" t="s">
        <v>156</v>
      </c>
      <c r="C93" s="23"/>
      <c r="D93" s="124" t="s">
        <v>164</v>
      </c>
      <c r="E93" s="125"/>
      <c r="F93" s="126"/>
      <c r="G93" s="23"/>
      <c r="H93" s="76">
        <v>1</v>
      </c>
      <c r="I93" s="1" t="s">
        <v>58</v>
      </c>
      <c r="J93" s="127" t="s">
        <v>132</v>
      </c>
      <c r="K93" s="128"/>
      <c r="L93" s="128"/>
      <c r="M93" s="128"/>
      <c r="N93" s="129"/>
      <c r="O93" s="1"/>
      <c r="P93" s="1"/>
    </row>
    <row r="94" spans="1:16" s="3" customFormat="1" ht="18" customHeight="1" x14ac:dyDescent="0.3">
      <c r="A94" s="23">
        <v>12</v>
      </c>
      <c r="B94" s="74" t="s">
        <v>156</v>
      </c>
      <c r="C94" s="23"/>
      <c r="D94" s="124" t="s">
        <v>157</v>
      </c>
      <c r="E94" s="125"/>
      <c r="F94" s="126"/>
      <c r="G94" s="23"/>
      <c r="H94" s="76">
        <v>4</v>
      </c>
      <c r="I94" s="1" t="s">
        <v>58</v>
      </c>
      <c r="J94" s="127" t="s">
        <v>132</v>
      </c>
      <c r="K94" s="128"/>
      <c r="L94" s="128"/>
      <c r="M94" s="128"/>
      <c r="N94" s="129"/>
      <c r="O94" s="1"/>
      <c r="P94" s="1"/>
    </row>
    <row r="95" spans="1:16" s="3" customFormat="1" ht="18" customHeight="1" x14ac:dyDescent="0.3">
      <c r="A95" s="23">
        <v>13</v>
      </c>
      <c r="B95" s="74" t="s">
        <v>156</v>
      </c>
      <c r="C95" s="23"/>
      <c r="D95" s="124" t="s">
        <v>165</v>
      </c>
      <c r="E95" s="125"/>
      <c r="F95" s="126"/>
      <c r="G95" s="23"/>
      <c r="H95" s="76">
        <v>1</v>
      </c>
      <c r="I95" s="1" t="s">
        <v>58</v>
      </c>
      <c r="J95" s="127" t="s">
        <v>132</v>
      </c>
      <c r="K95" s="128"/>
      <c r="L95" s="128"/>
      <c r="M95" s="128"/>
      <c r="N95" s="129"/>
      <c r="O95" s="1"/>
      <c r="P95" s="1"/>
    </row>
    <row r="96" spans="1:16" s="3" customFormat="1" ht="18" customHeight="1" x14ac:dyDescent="0.3">
      <c r="A96" s="23">
        <v>14</v>
      </c>
      <c r="B96" s="74" t="s">
        <v>133</v>
      </c>
      <c r="C96" s="23"/>
      <c r="D96" s="115"/>
      <c r="E96" s="116"/>
      <c r="F96" s="117"/>
      <c r="G96" s="23"/>
      <c r="H96" s="76">
        <v>14</v>
      </c>
      <c r="I96" s="77" t="s">
        <v>58</v>
      </c>
      <c r="J96" s="118"/>
      <c r="K96" s="119"/>
      <c r="L96" s="119"/>
      <c r="M96" s="119"/>
      <c r="N96" s="120"/>
      <c r="O96" s="79"/>
      <c r="P96" s="79"/>
    </row>
    <row r="97" spans="1:16" s="3" customFormat="1" ht="18" customHeight="1" x14ac:dyDescent="0.3">
      <c r="A97" s="23">
        <v>15</v>
      </c>
      <c r="B97" s="74" t="s">
        <v>114</v>
      </c>
      <c r="C97" s="23"/>
      <c r="D97" s="115"/>
      <c r="E97" s="116"/>
      <c r="F97" s="117"/>
      <c r="G97" s="23"/>
      <c r="H97" s="76">
        <v>4</v>
      </c>
      <c r="I97" s="77" t="s">
        <v>115</v>
      </c>
      <c r="J97" s="118"/>
      <c r="K97" s="119"/>
      <c r="L97" s="119"/>
      <c r="M97" s="119"/>
      <c r="N97" s="120"/>
      <c r="O97" s="79"/>
      <c r="P97" s="79"/>
    </row>
    <row r="98" spans="1:16" s="3" customFormat="1" ht="18" customHeight="1" x14ac:dyDescent="0.3">
      <c r="A98" s="23">
        <v>16</v>
      </c>
      <c r="B98" s="74" t="s">
        <v>116</v>
      </c>
      <c r="C98" s="23"/>
      <c r="D98" s="80"/>
      <c r="E98" s="81"/>
      <c r="F98" s="82"/>
      <c r="G98" s="23"/>
      <c r="H98" s="76">
        <v>1</v>
      </c>
      <c r="I98" s="77"/>
      <c r="J98" s="83"/>
      <c r="K98" s="84"/>
      <c r="L98" s="84"/>
      <c r="M98" s="84"/>
      <c r="N98" s="85"/>
      <c r="O98" s="79"/>
      <c r="P98" s="79"/>
    </row>
    <row r="99" spans="1:16" s="3" customFormat="1" ht="18" customHeight="1" x14ac:dyDescent="0.3">
      <c r="A99" s="23">
        <v>17</v>
      </c>
      <c r="B99" s="74" t="s">
        <v>134</v>
      </c>
      <c r="C99" s="23"/>
      <c r="D99" s="80"/>
      <c r="E99" s="81"/>
      <c r="F99" s="82"/>
      <c r="G99" s="23"/>
      <c r="H99" s="76">
        <v>1</v>
      </c>
      <c r="I99" s="77"/>
      <c r="J99" s="83"/>
      <c r="K99" s="84"/>
      <c r="L99" s="84"/>
      <c r="M99" s="84"/>
      <c r="N99" s="85"/>
      <c r="O99" s="79"/>
      <c r="P99" s="79"/>
    </row>
    <row r="100" spans="1:16" s="3" customFormat="1" ht="18" customHeight="1" x14ac:dyDescent="0.3">
      <c r="A100" s="23">
        <v>18</v>
      </c>
      <c r="B100" s="74" t="s">
        <v>135</v>
      </c>
      <c r="C100" s="23"/>
      <c r="D100" s="80"/>
      <c r="E100" s="81"/>
      <c r="F100" s="82"/>
      <c r="G100" s="23"/>
      <c r="H100" s="76">
        <v>2</v>
      </c>
      <c r="I100" s="77"/>
      <c r="J100" s="83"/>
      <c r="K100" s="84"/>
      <c r="L100" s="84"/>
      <c r="M100" s="84"/>
      <c r="N100" s="85"/>
      <c r="O100" s="79"/>
      <c r="P100" s="79"/>
    </row>
    <row r="101" spans="1:16" s="3" customFormat="1" ht="18" customHeight="1" x14ac:dyDescent="0.3">
      <c r="A101" s="23">
        <v>19</v>
      </c>
      <c r="B101" s="74" t="s">
        <v>117</v>
      </c>
      <c r="C101" s="23"/>
      <c r="D101" s="80"/>
      <c r="E101" s="81"/>
      <c r="F101" s="82"/>
      <c r="G101" s="23"/>
      <c r="H101" s="76">
        <v>2</v>
      </c>
      <c r="I101" s="77" t="s">
        <v>138</v>
      </c>
      <c r="J101" s="83"/>
      <c r="K101" s="84"/>
      <c r="L101" s="84"/>
      <c r="M101" s="84"/>
      <c r="N101" s="85"/>
      <c r="O101" s="79"/>
      <c r="P101" s="79"/>
    </row>
    <row r="102" spans="1:16" s="3" customFormat="1" ht="18" customHeight="1" x14ac:dyDescent="0.3">
      <c r="A102" s="23">
        <v>20</v>
      </c>
      <c r="B102" s="74" t="s">
        <v>76</v>
      </c>
      <c r="C102" s="23"/>
      <c r="D102" s="80"/>
      <c r="E102" s="81"/>
      <c r="F102" s="82"/>
      <c r="G102" s="23"/>
      <c r="H102" s="76">
        <v>2</v>
      </c>
      <c r="I102" s="77" t="s">
        <v>68</v>
      </c>
      <c r="J102" s="83"/>
      <c r="K102" s="84"/>
      <c r="L102" s="84"/>
      <c r="M102" s="84"/>
      <c r="N102" s="85"/>
      <c r="O102" s="79"/>
      <c r="P102" s="79"/>
    </row>
    <row r="103" spans="1:16" s="3" customFormat="1" ht="18" customHeight="1" x14ac:dyDescent="0.3">
      <c r="A103" s="23">
        <v>21</v>
      </c>
      <c r="B103" s="74" t="s">
        <v>136</v>
      </c>
      <c r="C103" s="23"/>
      <c r="D103" s="121" t="s">
        <v>160</v>
      </c>
      <c r="E103" s="122"/>
      <c r="F103" s="123"/>
      <c r="G103" s="23"/>
      <c r="H103" s="76">
        <v>4</v>
      </c>
      <c r="I103" s="77" t="s">
        <v>58</v>
      </c>
      <c r="J103" s="83"/>
      <c r="K103" s="84"/>
      <c r="L103" s="84"/>
      <c r="M103" s="84"/>
      <c r="N103" s="85"/>
      <c r="O103" s="79"/>
      <c r="P103" s="79"/>
    </row>
    <row r="104" spans="1:16" s="3" customFormat="1" ht="18" customHeight="1" x14ac:dyDescent="0.3">
      <c r="A104" s="23">
        <v>22</v>
      </c>
      <c r="B104" s="74" t="s">
        <v>136</v>
      </c>
      <c r="C104" s="23"/>
      <c r="D104" s="121" t="s">
        <v>137</v>
      </c>
      <c r="E104" s="122"/>
      <c r="F104" s="123"/>
      <c r="G104" s="23"/>
      <c r="H104" s="76">
        <v>4</v>
      </c>
      <c r="I104" s="77" t="s">
        <v>58</v>
      </c>
      <c r="J104" s="83"/>
      <c r="K104" s="84"/>
      <c r="L104" s="84"/>
      <c r="M104" s="84"/>
      <c r="N104" s="85"/>
      <c r="O104" s="79"/>
      <c r="P104" s="79"/>
    </row>
    <row r="105" spans="1:16" s="3" customFormat="1" ht="18" customHeight="1" x14ac:dyDescent="0.3">
      <c r="B105" s="4"/>
      <c r="H105" s="6"/>
      <c r="I105" s="6"/>
      <c r="O105" s="3" t="s">
        <v>49</v>
      </c>
      <c r="P105" s="3" t="s">
        <v>49</v>
      </c>
    </row>
    <row r="106" spans="1:16" s="3" customFormat="1" ht="18" customHeight="1" x14ac:dyDescent="0.3">
      <c r="A106" s="14"/>
      <c r="B106" s="15" t="s">
        <v>52</v>
      </c>
      <c r="C106" s="16"/>
      <c r="D106" s="16"/>
      <c r="E106" s="16"/>
      <c r="F106" s="16"/>
      <c r="G106" s="16"/>
      <c r="H106" s="17"/>
      <c r="I106" s="17"/>
      <c r="J106" s="16"/>
      <c r="K106" s="16"/>
      <c r="L106" s="16"/>
      <c r="M106" s="16"/>
      <c r="N106" s="16"/>
      <c r="P106" s="16"/>
    </row>
    <row r="107" spans="1:16" s="3" customFormat="1" ht="18" customHeight="1" x14ac:dyDescent="0.3">
      <c r="A107" s="108" t="s">
        <v>11</v>
      </c>
      <c r="B107" s="108" t="s">
        <v>38</v>
      </c>
      <c r="C107" s="109" t="s">
        <v>39</v>
      </c>
      <c r="D107" s="110"/>
      <c r="E107" s="110"/>
      <c r="F107" s="111"/>
      <c r="G107" s="109" t="s">
        <v>53</v>
      </c>
      <c r="H107" s="110"/>
      <c r="I107" s="111"/>
      <c r="J107" s="108" t="s">
        <v>54</v>
      </c>
      <c r="K107" s="108"/>
      <c r="L107" s="108"/>
      <c r="M107" s="108"/>
      <c r="N107" s="108"/>
      <c r="O107" s="20" t="s">
        <v>44</v>
      </c>
      <c r="P107" s="108" t="s">
        <v>44</v>
      </c>
    </row>
    <row r="108" spans="1:16" s="3" customFormat="1" ht="18" customHeight="1" x14ac:dyDescent="0.3">
      <c r="A108" s="108"/>
      <c r="B108" s="108"/>
      <c r="C108" s="112"/>
      <c r="D108" s="113"/>
      <c r="E108" s="113"/>
      <c r="F108" s="114"/>
      <c r="G108" s="112"/>
      <c r="H108" s="113"/>
      <c r="I108" s="114"/>
      <c r="J108" s="108"/>
      <c r="K108" s="108"/>
      <c r="L108" s="108"/>
      <c r="M108" s="108"/>
      <c r="N108" s="108"/>
      <c r="O108" s="20"/>
      <c r="P108" s="108"/>
    </row>
    <row r="109" spans="1:16" s="3" customFormat="1" ht="18" customHeight="1" x14ac:dyDescent="0.3">
      <c r="A109" s="23">
        <v>1</v>
      </c>
      <c r="B109" s="75" t="s">
        <v>55</v>
      </c>
      <c r="C109" s="107"/>
      <c r="D109" s="103"/>
      <c r="E109" s="103"/>
      <c r="F109" s="104"/>
      <c r="G109" s="105"/>
      <c r="H109" s="103"/>
      <c r="I109" s="104"/>
      <c r="J109" s="106"/>
      <c r="K109" s="106"/>
      <c r="L109" s="106"/>
      <c r="M109" s="106"/>
      <c r="N109" s="106"/>
      <c r="O109" s="23"/>
      <c r="P109" s="23"/>
    </row>
    <row r="110" spans="1:16" s="3" customFormat="1" ht="18" customHeight="1" x14ac:dyDescent="0.3">
      <c r="A110" s="23">
        <v>2</v>
      </c>
      <c r="B110" s="75" t="s">
        <v>55</v>
      </c>
      <c r="C110" s="105"/>
      <c r="D110" s="103"/>
      <c r="E110" s="103"/>
      <c r="F110" s="104"/>
      <c r="G110" s="105"/>
      <c r="H110" s="103"/>
      <c r="I110" s="104"/>
      <c r="J110" s="106"/>
      <c r="K110" s="106"/>
      <c r="L110" s="106"/>
      <c r="M110" s="106"/>
      <c r="N110" s="106"/>
      <c r="O110" s="23"/>
      <c r="P110" s="23"/>
    </row>
    <row r="111" spans="1:16" s="3" customFormat="1" ht="18" customHeight="1" x14ac:dyDescent="0.3">
      <c r="A111" s="23">
        <v>3</v>
      </c>
      <c r="B111" s="75" t="s">
        <v>56</v>
      </c>
      <c r="C111" s="102"/>
      <c r="D111" s="103"/>
      <c r="E111" s="103"/>
      <c r="F111" s="104"/>
      <c r="G111" s="105"/>
      <c r="H111" s="103"/>
      <c r="I111" s="104"/>
      <c r="J111" s="106"/>
      <c r="K111" s="106"/>
      <c r="L111" s="106"/>
      <c r="M111" s="106"/>
      <c r="N111" s="106"/>
      <c r="O111" s="23"/>
      <c r="P111" s="23"/>
    </row>
    <row r="112" spans="1:16" s="3" customFormat="1" ht="18" customHeight="1" x14ac:dyDescent="0.3">
      <c r="B112" s="4"/>
      <c r="H112" s="6"/>
      <c r="I112" s="6"/>
    </row>
    <row r="113" spans="2:9" s="3" customFormat="1" ht="18" customHeight="1" x14ac:dyDescent="0.3">
      <c r="B113" s="4"/>
      <c r="H113" s="6"/>
      <c r="I113" s="6"/>
    </row>
    <row r="114" spans="2:9" s="3" customFormat="1" ht="18" customHeight="1" x14ac:dyDescent="0.3">
      <c r="B114" s="4"/>
      <c r="H114" s="6"/>
      <c r="I114" s="6"/>
    </row>
    <row r="115" spans="2:9" s="3" customFormat="1" ht="18" customHeight="1" x14ac:dyDescent="0.3">
      <c r="B115" s="4"/>
      <c r="H115" s="6"/>
      <c r="I115" s="6"/>
    </row>
    <row r="116" spans="2:9" s="3" customFormat="1" ht="18" customHeight="1" x14ac:dyDescent="0.3">
      <c r="B116" s="4"/>
      <c r="H116" s="6"/>
      <c r="I116" s="6"/>
    </row>
    <row r="117" spans="2:9" s="3" customFormat="1" ht="18" customHeight="1" x14ac:dyDescent="0.3">
      <c r="B117" s="4"/>
      <c r="H117" s="6"/>
      <c r="I117" s="6"/>
    </row>
    <row r="118" spans="2:9" s="3" customFormat="1" ht="18" customHeight="1" x14ac:dyDescent="0.3">
      <c r="B118" s="4"/>
      <c r="H118" s="6"/>
      <c r="I118" s="6"/>
    </row>
    <row r="119" spans="2:9" s="3" customFormat="1" ht="18" customHeight="1" x14ac:dyDescent="0.3">
      <c r="B119" s="4"/>
      <c r="H119" s="6"/>
      <c r="I119" s="6"/>
    </row>
    <row r="120" spans="2:9" s="3" customFormat="1" ht="18" customHeight="1" x14ac:dyDescent="0.3">
      <c r="B120" s="4"/>
      <c r="H120" s="6"/>
      <c r="I120" s="6"/>
    </row>
    <row r="121" spans="2:9" s="3" customFormat="1" ht="18" customHeight="1" x14ac:dyDescent="0.3">
      <c r="B121" s="4"/>
      <c r="H121" s="6"/>
      <c r="I121" s="6"/>
    </row>
    <row r="122" spans="2:9" s="3" customFormat="1" ht="18" customHeight="1" x14ac:dyDescent="0.3">
      <c r="B122" s="4"/>
      <c r="H122" s="6"/>
      <c r="I122" s="6"/>
    </row>
    <row r="123" spans="2:9" s="3" customFormat="1" ht="18" customHeight="1" x14ac:dyDescent="0.3">
      <c r="B123" s="4"/>
      <c r="H123" s="6"/>
      <c r="I123" s="6"/>
    </row>
    <row r="124" spans="2:9" s="3" customFormat="1" ht="18" customHeight="1" x14ac:dyDescent="0.3">
      <c r="B124" s="4"/>
      <c r="H124" s="6"/>
      <c r="I124" s="6"/>
    </row>
    <row r="125" spans="2:9" s="3" customFormat="1" ht="18" customHeight="1" x14ac:dyDescent="0.3">
      <c r="B125" s="4"/>
      <c r="H125" s="6"/>
      <c r="I125" s="6"/>
    </row>
    <row r="126" spans="2:9" s="3" customFormat="1" ht="18" customHeight="1" x14ac:dyDescent="0.3">
      <c r="B126" s="4"/>
      <c r="H126" s="6"/>
      <c r="I126" s="6"/>
    </row>
    <row r="127" spans="2:9" s="3" customFormat="1" ht="18" customHeight="1" x14ac:dyDescent="0.3">
      <c r="B127" s="4"/>
      <c r="H127" s="6"/>
      <c r="I127" s="6"/>
    </row>
    <row r="128" spans="2:9" s="3" customFormat="1" ht="18" customHeight="1" x14ac:dyDescent="0.3">
      <c r="B128" s="4"/>
      <c r="H128" s="6"/>
      <c r="I128" s="6"/>
    </row>
    <row r="129" spans="2:9" s="3" customFormat="1" ht="18" customHeight="1" x14ac:dyDescent="0.3">
      <c r="B129" s="4"/>
      <c r="H129" s="6"/>
      <c r="I129" s="6"/>
    </row>
    <row r="130" spans="2:9" s="3" customFormat="1" ht="18" customHeight="1" x14ac:dyDescent="0.3">
      <c r="B130" s="4"/>
      <c r="H130" s="6"/>
      <c r="I130" s="6"/>
    </row>
    <row r="131" spans="2:9" s="3" customFormat="1" ht="18" customHeight="1" x14ac:dyDescent="0.3">
      <c r="B131" s="4"/>
      <c r="H131" s="6"/>
      <c r="I131" s="6"/>
    </row>
    <row r="132" spans="2:9" s="3" customFormat="1" ht="18" customHeight="1" x14ac:dyDescent="0.3">
      <c r="B132" s="4"/>
      <c r="H132" s="6"/>
      <c r="I132" s="6"/>
    </row>
    <row r="133" spans="2:9" s="3" customFormat="1" ht="18" customHeight="1" x14ac:dyDescent="0.3">
      <c r="B133" s="4"/>
      <c r="H133" s="6"/>
      <c r="I133" s="6"/>
    </row>
    <row r="134" spans="2:9" s="3" customFormat="1" ht="18" customHeight="1" x14ac:dyDescent="0.3">
      <c r="B134" s="4"/>
      <c r="H134" s="6"/>
      <c r="I134" s="6"/>
    </row>
    <row r="135" spans="2:9" s="3" customFormat="1" ht="18" customHeight="1" x14ac:dyDescent="0.3">
      <c r="B135" s="4"/>
      <c r="H135" s="6"/>
      <c r="I135" s="6"/>
    </row>
    <row r="136" spans="2:9" s="3" customFormat="1" ht="18" customHeight="1" x14ac:dyDescent="0.3">
      <c r="B136" s="4"/>
      <c r="H136" s="6"/>
      <c r="I136" s="6"/>
    </row>
    <row r="137" spans="2:9" s="3" customFormat="1" ht="18" customHeight="1" x14ac:dyDescent="0.3">
      <c r="B137" s="4"/>
      <c r="H137" s="6"/>
      <c r="I137" s="6"/>
    </row>
    <row r="138" spans="2:9" s="3" customFormat="1" ht="18" customHeight="1" x14ac:dyDescent="0.3">
      <c r="B138" s="4"/>
      <c r="H138" s="6"/>
      <c r="I138" s="6"/>
    </row>
    <row r="139" spans="2:9" s="3" customFormat="1" ht="18" customHeight="1" x14ac:dyDescent="0.3">
      <c r="B139" s="4"/>
      <c r="H139" s="6"/>
      <c r="I139" s="6"/>
    </row>
    <row r="140" spans="2:9" s="3" customFormat="1" ht="18" customHeight="1" x14ac:dyDescent="0.3">
      <c r="B140" s="4"/>
      <c r="H140" s="6"/>
      <c r="I140" s="6"/>
    </row>
    <row r="141" spans="2:9" s="3" customFormat="1" ht="18" customHeight="1" x14ac:dyDescent="0.3">
      <c r="B141" s="4"/>
      <c r="H141" s="6"/>
      <c r="I141" s="6"/>
    </row>
    <row r="142" spans="2:9" s="3" customFormat="1" ht="18" customHeight="1" x14ac:dyDescent="0.3">
      <c r="B142" s="4"/>
      <c r="H142" s="6"/>
      <c r="I142" s="6"/>
    </row>
    <row r="143" spans="2:9" s="3" customFormat="1" ht="18" customHeight="1" x14ac:dyDescent="0.3">
      <c r="B143" s="4"/>
      <c r="H143" s="6"/>
      <c r="I143" s="6"/>
    </row>
    <row r="144" spans="2:9" s="3" customFormat="1" ht="18" customHeight="1" x14ac:dyDescent="0.3">
      <c r="B144" s="4"/>
      <c r="H144" s="6"/>
      <c r="I144" s="6"/>
    </row>
    <row r="145" spans="2:9" s="3" customFormat="1" ht="18" customHeight="1" x14ac:dyDescent="0.3">
      <c r="B145" s="4"/>
      <c r="H145" s="6"/>
      <c r="I145" s="6"/>
    </row>
    <row r="146" spans="2:9" s="3" customFormat="1" ht="18" customHeight="1" x14ac:dyDescent="0.3">
      <c r="B146" s="4"/>
      <c r="H146" s="6"/>
      <c r="I146" s="6"/>
    </row>
    <row r="147" spans="2:9" s="3" customFormat="1" ht="18" customHeight="1" x14ac:dyDescent="0.3">
      <c r="B147" s="4"/>
      <c r="H147" s="6"/>
      <c r="I147" s="6"/>
    </row>
    <row r="148" spans="2:9" s="3" customFormat="1" ht="18" customHeight="1" x14ac:dyDescent="0.3">
      <c r="B148" s="4"/>
      <c r="H148" s="6"/>
      <c r="I148" s="6"/>
    </row>
    <row r="149" spans="2:9" s="3" customFormat="1" ht="18" customHeight="1" x14ac:dyDescent="0.3">
      <c r="B149" s="4"/>
      <c r="H149" s="6"/>
      <c r="I149" s="6"/>
    </row>
    <row r="150" spans="2:9" s="3" customFormat="1" ht="18" customHeight="1" x14ac:dyDescent="0.3">
      <c r="B150" s="4"/>
      <c r="H150" s="6"/>
      <c r="I150" s="6"/>
    </row>
    <row r="151" spans="2:9" s="3" customFormat="1" ht="18" customHeight="1" x14ac:dyDescent="0.3">
      <c r="B151" s="4"/>
      <c r="H151" s="6"/>
      <c r="I151" s="6"/>
    </row>
    <row r="152" spans="2:9" s="3" customFormat="1" ht="18" customHeight="1" x14ac:dyDescent="0.3">
      <c r="B152" s="4"/>
      <c r="H152" s="6"/>
      <c r="I152" s="6"/>
    </row>
    <row r="153" spans="2:9" s="3" customFormat="1" ht="18" customHeight="1" x14ac:dyDescent="0.3">
      <c r="B153" s="4"/>
      <c r="H153" s="6"/>
      <c r="I153" s="6"/>
    </row>
    <row r="154" spans="2:9" s="3" customFormat="1" ht="18" customHeight="1" x14ac:dyDescent="0.3">
      <c r="B154" s="4"/>
      <c r="H154" s="6"/>
      <c r="I154" s="6"/>
    </row>
    <row r="155" spans="2:9" s="3" customFormat="1" ht="18" customHeight="1" x14ac:dyDescent="0.3">
      <c r="B155" s="4"/>
      <c r="H155" s="6"/>
      <c r="I155" s="6"/>
    </row>
    <row r="156" spans="2:9" s="3" customFormat="1" ht="18" customHeight="1" x14ac:dyDescent="0.3">
      <c r="B156" s="4"/>
      <c r="H156" s="6"/>
      <c r="I156" s="6"/>
    </row>
    <row r="157" spans="2:9" s="3" customFormat="1" ht="18" customHeight="1" x14ac:dyDescent="0.3">
      <c r="B157" s="4"/>
      <c r="H157" s="6"/>
      <c r="I157" s="6"/>
    </row>
    <row r="158" spans="2:9" s="3" customFormat="1" ht="18" customHeight="1" x14ac:dyDescent="0.3">
      <c r="B158" s="4"/>
      <c r="H158" s="6"/>
      <c r="I158" s="6"/>
    </row>
    <row r="159" spans="2:9" s="3" customFormat="1" ht="18" customHeight="1" x14ac:dyDescent="0.3">
      <c r="B159" s="4"/>
      <c r="H159" s="6"/>
      <c r="I159" s="6"/>
    </row>
    <row r="160" spans="2:9" s="3" customFormat="1" ht="18" customHeight="1" x14ac:dyDescent="0.3">
      <c r="B160" s="4"/>
      <c r="H160" s="6"/>
      <c r="I160" s="6"/>
    </row>
    <row r="161" spans="2:9" s="3" customFormat="1" ht="18" customHeight="1" x14ac:dyDescent="0.3">
      <c r="B161" s="4"/>
      <c r="H161" s="6"/>
      <c r="I161" s="6"/>
    </row>
    <row r="162" spans="2:9" s="3" customFormat="1" ht="18" customHeight="1" x14ac:dyDescent="0.3">
      <c r="B162" s="4"/>
      <c r="H162" s="6"/>
      <c r="I162" s="6"/>
    </row>
    <row r="163" spans="2:9" s="3" customFormat="1" ht="18" customHeight="1" x14ac:dyDescent="0.3">
      <c r="B163" s="4"/>
      <c r="H163" s="6"/>
      <c r="I163" s="6"/>
    </row>
    <row r="164" spans="2:9" s="3" customFormat="1" ht="18" customHeight="1" x14ac:dyDescent="0.3">
      <c r="B164" s="4"/>
      <c r="H164" s="6"/>
      <c r="I164" s="6"/>
    </row>
    <row r="165" spans="2:9" s="3" customFormat="1" ht="18" customHeight="1" x14ac:dyDescent="0.3">
      <c r="B165" s="4"/>
      <c r="H165" s="6"/>
      <c r="I165" s="6"/>
    </row>
    <row r="166" spans="2:9" s="3" customFormat="1" ht="18" customHeight="1" x14ac:dyDescent="0.3">
      <c r="B166" s="4"/>
      <c r="H166" s="6"/>
      <c r="I166" s="6"/>
    </row>
    <row r="167" spans="2:9" s="3" customFormat="1" ht="18" customHeight="1" x14ac:dyDescent="0.3">
      <c r="B167" s="4"/>
      <c r="H167" s="6"/>
      <c r="I167" s="6"/>
    </row>
    <row r="168" spans="2:9" s="3" customFormat="1" ht="18" customHeight="1" x14ac:dyDescent="0.3">
      <c r="B168" s="4"/>
      <c r="H168" s="6"/>
      <c r="I168" s="6"/>
    </row>
    <row r="169" spans="2:9" s="3" customFormat="1" ht="18" customHeight="1" x14ac:dyDescent="0.3">
      <c r="B169" s="4"/>
      <c r="H169" s="6"/>
      <c r="I169" s="6"/>
    </row>
    <row r="170" spans="2:9" s="3" customFormat="1" ht="18" customHeight="1" x14ac:dyDescent="0.3">
      <c r="B170" s="4"/>
      <c r="H170" s="6"/>
      <c r="I170" s="6"/>
    </row>
    <row r="171" spans="2:9" s="3" customFormat="1" ht="18" customHeight="1" x14ac:dyDescent="0.3">
      <c r="B171" s="4"/>
      <c r="H171" s="6"/>
      <c r="I171" s="6"/>
    </row>
    <row r="172" spans="2:9" s="3" customFormat="1" ht="18" customHeight="1" x14ac:dyDescent="0.3">
      <c r="B172" s="4"/>
      <c r="H172" s="6"/>
      <c r="I172" s="6"/>
    </row>
    <row r="173" spans="2:9" s="3" customFormat="1" ht="18" customHeight="1" x14ac:dyDescent="0.3">
      <c r="B173" s="4"/>
      <c r="H173" s="6"/>
      <c r="I173" s="6"/>
    </row>
    <row r="174" spans="2:9" s="3" customFormat="1" ht="18" customHeight="1" x14ac:dyDescent="0.3">
      <c r="B174" s="4"/>
      <c r="H174" s="6"/>
      <c r="I174" s="6"/>
    </row>
  </sheetData>
  <mergeCells count="138">
    <mergeCell ref="A46:B46"/>
    <mergeCell ref="A48:B59"/>
    <mergeCell ref="D48:G59"/>
    <mergeCell ref="A2:P2"/>
    <mergeCell ref="A3:C5"/>
    <mergeCell ref="D3:M5"/>
    <mergeCell ref="N3:P3"/>
    <mergeCell ref="N4:P4"/>
    <mergeCell ref="N5:P5"/>
    <mergeCell ref="I13:I14"/>
    <mergeCell ref="J13:L13"/>
    <mergeCell ref="M13:M14"/>
    <mergeCell ref="N13:N14"/>
    <mergeCell ref="O13:O14"/>
    <mergeCell ref="P13:P14"/>
    <mergeCell ref="A13:A14"/>
    <mergeCell ref="B13:B14"/>
    <mergeCell ref="C13:C14"/>
    <mergeCell ref="D13:F13"/>
    <mergeCell ref="G13:G14"/>
    <mergeCell ref="H13:H14"/>
    <mergeCell ref="J48:J59"/>
    <mergeCell ref="K48:K59"/>
    <mergeCell ref="L48:L59"/>
    <mergeCell ref="M64:M65"/>
    <mergeCell ref="N64:N65"/>
    <mergeCell ref="O64:O65"/>
    <mergeCell ref="P64:P65"/>
    <mergeCell ref="B66:C66"/>
    <mergeCell ref="D66:E66"/>
    <mergeCell ref="F66:J66"/>
    <mergeCell ref="J61:K61"/>
    <mergeCell ref="M48:M59"/>
    <mergeCell ref="N48:N59"/>
    <mergeCell ref="P48:P59"/>
    <mergeCell ref="O49:O60"/>
    <mergeCell ref="A60:B60"/>
    <mergeCell ref="D60:G60"/>
    <mergeCell ref="J60:K60"/>
    <mergeCell ref="A64:A65"/>
    <mergeCell ref="B64:C65"/>
    <mergeCell ref="D64:E65"/>
    <mergeCell ref="F64:J65"/>
    <mergeCell ref="K64:L64"/>
    <mergeCell ref="B69:C69"/>
    <mergeCell ref="D69:E69"/>
    <mergeCell ref="F69:J69"/>
    <mergeCell ref="B70:C70"/>
    <mergeCell ref="D70:E70"/>
    <mergeCell ref="F70:J70"/>
    <mergeCell ref="B67:C67"/>
    <mergeCell ref="D67:E67"/>
    <mergeCell ref="F67:J67"/>
    <mergeCell ref="B68:C68"/>
    <mergeCell ref="D68:E68"/>
    <mergeCell ref="F68:J68"/>
    <mergeCell ref="B73:C73"/>
    <mergeCell ref="D73:E73"/>
    <mergeCell ref="F73:J73"/>
    <mergeCell ref="B74:C74"/>
    <mergeCell ref="D74:E74"/>
    <mergeCell ref="F74:J74"/>
    <mergeCell ref="B71:C71"/>
    <mergeCell ref="D71:E71"/>
    <mergeCell ref="F71:J71"/>
    <mergeCell ref="B72:C72"/>
    <mergeCell ref="D72:E72"/>
    <mergeCell ref="F72:J72"/>
    <mergeCell ref="B77:C77"/>
    <mergeCell ref="D77:E77"/>
    <mergeCell ref="F77:J77"/>
    <mergeCell ref="B78:C78"/>
    <mergeCell ref="D78:E78"/>
    <mergeCell ref="F78:J78"/>
    <mergeCell ref="B75:C75"/>
    <mergeCell ref="D75:E75"/>
    <mergeCell ref="F75:J75"/>
    <mergeCell ref="B76:C76"/>
    <mergeCell ref="D76:E76"/>
    <mergeCell ref="F76:J76"/>
    <mergeCell ref="B79:C79"/>
    <mergeCell ref="D79:E79"/>
    <mergeCell ref="F79:J79"/>
    <mergeCell ref="A81:A82"/>
    <mergeCell ref="B81:B82"/>
    <mergeCell ref="C81:C82"/>
    <mergeCell ref="D81:F82"/>
    <mergeCell ref="G81:H81"/>
    <mergeCell ref="I81:I82"/>
    <mergeCell ref="J81:N82"/>
    <mergeCell ref="D87:F87"/>
    <mergeCell ref="J87:N87"/>
    <mergeCell ref="D88:F88"/>
    <mergeCell ref="J88:N88"/>
    <mergeCell ref="D89:F89"/>
    <mergeCell ref="J89:N89"/>
    <mergeCell ref="P81:P82"/>
    <mergeCell ref="D83:F83"/>
    <mergeCell ref="J83:N83"/>
    <mergeCell ref="D85:F85"/>
    <mergeCell ref="J85:N85"/>
    <mergeCell ref="D86:F86"/>
    <mergeCell ref="J86:N86"/>
    <mergeCell ref="D84:F84"/>
    <mergeCell ref="J84:N84"/>
    <mergeCell ref="D93:F93"/>
    <mergeCell ref="J93:N93"/>
    <mergeCell ref="D94:F94"/>
    <mergeCell ref="J94:N94"/>
    <mergeCell ref="D95:F95"/>
    <mergeCell ref="J95:N95"/>
    <mergeCell ref="D90:F90"/>
    <mergeCell ref="J90:N90"/>
    <mergeCell ref="D91:F91"/>
    <mergeCell ref="J91:N91"/>
    <mergeCell ref="D92:F92"/>
    <mergeCell ref="J92:N92"/>
    <mergeCell ref="A107:A108"/>
    <mergeCell ref="B107:B108"/>
    <mergeCell ref="C107:F108"/>
    <mergeCell ref="G107:I108"/>
    <mergeCell ref="J107:N108"/>
    <mergeCell ref="P107:P108"/>
    <mergeCell ref="D96:F96"/>
    <mergeCell ref="J96:N96"/>
    <mergeCell ref="D97:F97"/>
    <mergeCell ref="J97:N97"/>
    <mergeCell ref="D103:F103"/>
    <mergeCell ref="D104:F104"/>
    <mergeCell ref="C111:F111"/>
    <mergeCell ref="G111:I111"/>
    <mergeCell ref="J111:N111"/>
    <mergeCell ref="C109:F109"/>
    <mergeCell ref="G109:I109"/>
    <mergeCell ref="J109:N109"/>
    <mergeCell ref="C110:F110"/>
    <mergeCell ref="G110:I110"/>
    <mergeCell ref="J110:N110"/>
  </mergeCells>
  <pageMargins left="0" right="0" top="0.23622047244094491" bottom="0.23622047244094491" header="0" footer="0"/>
  <pageSetup paperSize="9" scale="68" fitToHeight="0" orientation="landscape" horizontalDpi="1200" verticalDpi="1200" r:id="rId1"/>
  <rowBreaks count="3" manualBreakCount="3">
    <brk id="79" max="14" man="1"/>
    <brk id="105" max="14" man="1"/>
    <brk id="111" max="1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BEDSIDE 1D</vt:lpstr>
      <vt:lpstr>'BEDSIDE 1D'!Print_Area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 Furniture</cp:lastModifiedBy>
  <cp:lastPrinted>2026-02-05T03:48:33Z</cp:lastPrinted>
  <dcterms:created xsi:type="dcterms:W3CDTF">2024-11-20T09:27:44Z</dcterms:created>
  <dcterms:modified xsi:type="dcterms:W3CDTF">2026-04-03T02:19:05Z</dcterms:modified>
</cp:coreProperties>
</file>